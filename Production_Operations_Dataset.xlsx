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D403CC25-8416-4D29-960C-2F301F995964}" xr6:coauthVersionLast="47" xr6:coauthVersionMax="47" xr10:uidLastSave="{00000000-0000-0000-0000-000000000000}"/>
  <bookViews>
    <workbookView xWindow="-120" yWindow="-120" windowWidth="29040" windowHeight="15720" firstSheet="6" activeTab="6" xr2:uid="{00000000-000D-0000-FFFF-FFFF00000000}"/>
  </bookViews>
  <sheets>
    <sheet name="Production Dashboard" sheetId="9" r:id="rId1"/>
    <sheet name="Batch_Production" sheetId="1" r:id="rId2"/>
    <sheet name="Production_With_Site_Location" sheetId="13" r:id="rId3"/>
    <sheet name="Operator Dashboard" sheetId="16" r:id="rId4"/>
    <sheet name="QC_Instrument_Readings" sheetId="2" r:id="rId5"/>
    <sheet name="Anomaly_Incident_Log" sheetId="3" r:id="rId6"/>
    <sheet name="Raw_Material_Consumption" sheetId="4" r:id="rId7"/>
    <sheet name="Equipment_Maintenance" sheetId="5" r:id="rId8"/>
    <sheet name="Sites" sheetId="6" r:id="rId9"/>
    <sheet name="Operators" sheetId="7" r:id="rId10"/>
    <sheet name="Equipment" sheetId="8" r:id="rId11"/>
  </sheets>
  <definedNames>
    <definedName name="_xlnm._FilterDatabase" localSheetId="5" hidden="1">Anomaly_Incident_Log!$A$1:$Q$91</definedName>
    <definedName name="_xlnm._FilterDatabase" localSheetId="1" hidden="1">Batch_Production!$A$1:$Y$201</definedName>
    <definedName name="_xlnm._FilterDatabase" localSheetId="7" hidden="1">Equipment_Maintenance!$A$1:$Q$101</definedName>
    <definedName name="_xlnm._FilterDatabase" localSheetId="4" hidden="1">QC_Instrument_Readings!$A$1:$O$1</definedName>
    <definedName name="_xlnm._FilterDatabase" localSheetId="6" hidden="1">Raw_Material_Consumption!$A$1:$R$1</definedName>
    <definedName name="ExternalData_1" localSheetId="2" hidden="1">Production_With_Site_Location!$A$1:$Z$241</definedName>
    <definedName name="Slicer_site_id">#N/A</definedName>
    <definedName name="Slicer_spirit_type">#N/A</definedName>
    <definedName name="Slicer_spirit_type1">#N/A</definedName>
  </definedNames>
  <calcPr calcId="191029"/>
  <pivotCaches>
    <pivotCache cacheId="88" r:id="rId12"/>
    <pivotCache cacheId="102"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ites6_47eff570-f251-4822-8932-2ad927b70cb0" name="Sites6" connection="Query - Sites6"/>
          <x15:modelTable id="Batch_Production1_bb52dc45-044e-4843-a700-222ad8707d31" name="Batch_Production1" connection="Query - Batch_Production1"/>
          <x15:modelTable id="Operators7_4eb70223-df10-4702-9fc7-75f44827cc10" name="Operators7" connection="Query - Operators7"/>
        </x15:modelTables>
        <x15:modelRelationships>
          <x15:modelRelationship fromTable="Batch_Production1" fromColumn="site_id" toTable="Sites6" toColumn="sit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2" i="13" l="1"/>
  <c r="X3" i="13"/>
  <c r="X4" i="13"/>
  <c r="X5" i="13"/>
  <c r="X6" i="13"/>
  <c r="X7" i="13"/>
  <c r="X8" i="13"/>
  <c r="X9" i="13"/>
  <c r="X10" i="13"/>
  <c r="X11" i="13"/>
  <c r="X12" i="13"/>
  <c r="X13" i="13"/>
  <c r="X14" i="13"/>
  <c r="X15" i="13"/>
  <c r="X16" i="13"/>
  <c r="X17" i="13"/>
  <c r="X18" i="13"/>
  <c r="X19" i="13"/>
  <c r="X20" i="13"/>
  <c r="X21" i="13"/>
  <c r="X22" i="13"/>
  <c r="X23" i="13"/>
  <c r="X24" i="13"/>
  <c r="X25" i="13"/>
  <c r="X26" i="13"/>
  <c r="X27" i="13"/>
  <c r="X28" i="13"/>
  <c r="X29" i="13"/>
  <c r="X30" i="13"/>
  <c r="X31" i="13"/>
  <c r="X32" i="13"/>
  <c r="X33" i="13"/>
  <c r="X34" i="13"/>
  <c r="X35" i="13"/>
  <c r="X36" i="13"/>
  <c r="X37" i="13"/>
  <c r="X38" i="13"/>
  <c r="X39" i="13"/>
  <c r="X40" i="13"/>
  <c r="X41" i="13"/>
  <c r="X42" i="13"/>
  <c r="X43" i="13"/>
  <c r="X44" i="13"/>
  <c r="X45" i="13"/>
  <c r="X46" i="13"/>
  <c r="X47" i="13"/>
  <c r="X48" i="13"/>
  <c r="X49" i="13"/>
  <c r="X50" i="13"/>
  <c r="X51" i="13"/>
  <c r="X52" i="13"/>
  <c r="X53" i="13"/>
  <c r="X54" i="13"/>
  <c r="X55" i="13"/>
  <c r="X56" i="13"/>
  <c r="X57" i="13"/>
  <c r="X58" i="13"/>
  <c r="X59" i="13"/>
  <c r="X60" i="13"/>
  <c r="X61" i="13"/>
  <c r="X62" i="13"/>
  <c r="X63" i="13"/>
  <c r="X64" i="13"/>
  <c r="X65" i="13"/>
  <c r="X66" i="13"/>
  <c r="X67" i="13"/>
  <c r="X68" i="13"/>
  <c r="X69" i="13"/>
  <c r="X70" i="13"/>
  <c r="X71" i="13"/>
  <c r="X72" i="13"/>
  <c r="X73" i="13"/>
  <c r="X74" i="13"/>
  <c r="X75" i="13"/>
  <c r="X76" i="13"/>
  <c r="X77" i="13"/>
  <c r="X78" i="13"/>
  <c r="X79" i="13"/>
  <c r="X80" i="13"/>
  <c r="X81" i="13"/>
  <c r="X82" i="13"/>
  <c r="X83" i="13"/>
  <c r="X84" i="13"/>
  <c r="X85" i="13"/>
  <c r="X86" i="13"/>
  <c r="X87" i="13"/>
  <c r="X88" i="13"/>
  <c r="X89" i="13"/>
  <c r="X90" i="13"/>
  <c r="X91" i="13"/>
  <c r="X92" i="13"/>
  <c r="X93" i="13"/>
  <c r="X94" i="13"/>
  <c r="X95" i="13"/>
  <c r="X96" i="13"/>
  <c r="X97" i="13"/>
  <c r="X98" i="13"/>
  <c r="X99" i="13"/>
  <c r="X100" i="13"/>
  <c r="X101" i="13"/>
  <c r="X102" i="13"/>
  <c r="X103" i="13"/>
  <c r="X104" i="13"/>
  <c r="X105" i="13"/>
  <c r="X106" i="13"/>
  <c r="X107" i="13"/>
  <c r="X108" i="13"/>
  <c r="X109" i="13"/>
  <c r="X110" i="13"/>
  <c r="X111" i="13"/>
  <c r="X112" i="13"/>
  <c r="X113" i="13"/>
  <c r="X114" i="13"/>
  <c r="X115" i="13"/>
  <c r="X116" i="13"/>
  <c r="X117" i="13"/>
  <c r="X118" i="13"/>
  <c r="X119" i="13"/>
  <c r="X120" i="13"/>
  <c r="X121" i="13"/>
  <c r="X122" i="13"/>
  <c r="X123" i="13"/>
  <c r="X124" i="13"/>
  <c r="X125" i="13"/>
  <c r="X126" i="13"/>
  <c r="X127" i="13"/>
  <c r="X128" i="13"/>
  <c r="X129" i="13"/>
  <c r="X130" i="13"/>
  <c r="X131" i="13"/>
  <c r="X132" i="13"/>
  <c r="X133" i="13"/>
  <c r="X134" i="13"/>
  <c r="X135" i="13"/>
  <c r="X136" i="13"/>
  <c r="X137" i="13"/>
  <c r="X138" i="13"/>
  <c r="X139" i="13"/>
  <c r="X140" i="13"/>
  <c r="X141" i="13"/>
  <c r="X142" i="13"/>
  <c r="X143" i="13"/>
  <c r="X144" i="13"/>
  <c r="X145" i="13"/>
  <c r="X146" i="13"/>
  <c r="X147" i="13"/>
  <c r="X148" i="13"/>
  <c r="X149" i="13"/>
  <c r="X150" i="13"/>
  <c r="X151" i="13"/>
  <c r="X152" i="13"/>
  <c r="X153" i="13"/>
  <c r="X154" i="13"/>
  <c r="X155" i="13"/>
  <c r="X156" i="13"/>
  <c r="X157" i="13"/>
  <c r="X158" i="13"/>
  <c r="X159" i="13"/>
  <c r="X160" i="13"/>
  <c r="X161" i="13"/>
  <c r="X162" i="13"/>
  <c r="X163" i="13"/>
  <c r="X164" i="13"/>
  <c r="X165" i="13"/>
  <c r="X166" i="13"/>
  <c r="X167" i="13"/>
  <c r="X168" i="13"/>
  <c r="X169" i="13"/>
  <c r="X170" i="13"/>
  <c r="X171" i="13"/>
  <c r="X172" i="13"/>
  <c r="X173" i="13"/>
  <c r="X174" i="13"/>
  <c r="X175" i="13"/>
  <c r="X176" i="13"/>
  <c r="X177" i="13"/>
  <c r="X178" i="13"/>
  <c r="X179" i="13"/>
  <c r="X180" i="13"/>
  <c r="X181" i="13"/>
  <c r="X182" i="13"/>
  <c r="X183" i="13"/>
  <c r="X184" i="13"/>
  <c r="X185" i="13"/>
  <c r="X186" i="13"/>
  <c r="X187" i="13"/>
  <c r="X188" i="13"/>
  <c r="X189" i="13"/>
  <c r="X190" i="13"/>
  <c r="X191" i="13"/>
  <c r="X192" i="13"/>
  <c r="X193" i="13"/>
  <c r="X194" i="13"/>
  <c r="X195" i="13"/>
  <c r="X196" i="13"/>
  <c r="X197" i="13"/>
  <c r="X198" i="13"/>
  <c r="X199" i="13"/>
  <c r="X200" i="13"/>
  <c r="X201" i="13"/>
  <c r="X202" i="13"/>
  <c r="X203" i="13"/>
  <c r="X204" i="13"/>
  <c r="X205" i="13"/>
  <c r="X206" i="13"/>
  <c r="X207" i="13"/>
  <c r="X208" i="13"/>
  <c r="X209" i="13"/>
  <c r="X210" i="13"/>
  <c r="X211" i="13"/>
  <c r="X212" i="13"/>
  <c r="X213" i="13"/>
  <c r="X214" i="13"/>
  <c r="X215" i="13"/>
  <c r="X216" i="13"/>
  <c r="X217" i="13"/>
  <c r="X218" i="13"/>
  <c r="X219" i="13"/>
  <c r="X220" i="13"/>
  <c r="X221" i="13"/>
  <c r="X222" i="13"/>
  <c r="X223" i="13"/>
  <c r="X224" i="13"/>
  <c r="X225" i="13"/>
  <c r="X226" i="13"/>
  <c r="X227" i="13"/>
  <c r="X228" i="13"/>
  <c r="X229" i="13"/>
  <c r="X230" i="13"/>
  <c r="X231" i="13"/>
  <c r="X232" i="13"/>
  <c r="X233" i="13"/>
  <c r="X234" i="13"/>
  <c r="X235" i="13"/>
  <c r="X236" i="13"/>
  <c r="X237" i="13"/>
  <c r="X238" i="13"/>
  <c r="X239" i="13"/>
  <c r="X240" i="13"/>
  <c r="X241" i="13"/>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5DCE08-0AA9-4330-8A4B-4D711881B26E}" name="Query - Batch_Production1" description="Connection to the 'Batch_Production1' query in the workbook." type="100" refreshedVersion="8" minRefreshableVersion="5">
    <extLst>
      <ext xmlns:x15="http://schemas.microsoft.com/office/spreadsheetml/2010/11/main" uri="{DE250136-89BD-433C-8126-D09CA5730AF9}">
        <x15:connection id="0a4f6131-ca1c-4198-b6c9-07a800fa0c0c">
          <x15:oledbPr connection="Provider=Microsoft.Mashup.OleDb.1;Data Source=$Workbook$;Location=Batch_Production1;Extended Properties=&quot;&quot;">
            <x15:dbTables>
              <x15:dbTable name="Batch_Production1"/>
            </x15:dbTables>
          </x15:oledbPr>
        </x15:connection>
      </ext>
    </extLst>
  </connection>
  <connection id="2" xr16:uid="{4F8A93F0-4B02-40A4-B1E8-E186775A420B}"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FF014E5C-7B20-40F4-BA12-13F88607B496}" name="Query - Operators7" description="Connection to the 'Operators7' query in the workbook." type="100" refreshedVersion="8" minRefreshableVersion="5">
    <extLst>
      <ext xmlns:x15="http://schemas.microsoft.com/office/spreadsheetml/2010/11/main" uri="{DE250136-89BD-433C-8126-D09CA5730AF9}">
        <x15:connection id="8bcf9577-ebec-4363-b7fd-222a395f5457">
          <x15:oledbPr connection="Provider=Microsoft.Mashup.OleDb.1;Data Source=$Workbook$;Location=Operators7;Extended Properties=&quot;&quot;">
            <x15:dbTables>
              <x15:dbTable name="Operators7"/>
            </x15:dbTables>
          </x15:oledbPr>
        </x15:connection>
      </ext>
    </extLst>
  </connection>
  <connection id="4" xr16:uid="{A6E817A4-3017-4975-BD9C-F1B0B8F9BF26}" name="Query - Sites6" description="Connection to the 'Sites6' query in the workbook." type="100" refreshedVersion="8" minRefreshableVersion="5">
    <extLst>
      <ext xmlns:x15="http://schemas.microsoft.com/office/spreadsheetml/2010/11/main" uri="{DE250136-89BD-433C-8126-D09CA5730AF9}">
        <x15:connection id="ca4bda19-3508-4fa3-8296-9079a65b04ee">
          <x15:oledbPr connection="Provider=Microsoft.Mashup.OleDb.1;Data Source=$Workbook$;Location=Sites6;Extended Properties=&quot;&quot;">
            <x15:dbTables>
              <x15:dbTable name="Sites6"/>
            </x15:dbTables>
          </x15:oledbPr>
        </x15:connection>
      </ext>
    </extLst>
  </connection>
  <connection id="5" xr16:uid="{27D2B4D3-968C-4147-A709-4F99CA14C7E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<sst xmlns="http://schemas.openxmlformats.org/spreadsheetml/2006/main" count="9221" uniqueCount="1328">
  <si>
    <t>batch_id</t>
  </si>
  <si>
    <t>batch_date</t>
  </si>
  <si>
    <t>site_id</t>
  </si>
  <si>
    <t>spirit_type</t>
  </si>
  <si>
    <t>unit_operation</t>
  </si>
  <si>
    <t>operator_id</t>
  </si>
  <si>
    <t>shift</t>
  </si>
  <si>
    <t>grain_input_kg</t>
  </si>
  <si>
    <t>water_input_L</t>
  </si>
  <si>
    <t>scheduled_output_L</t>
  </si>
  <si>
    <t>actual_output_L</t>
  </si>
  <si>
    <t>variance_L</t>
  </si>
  <si>
    <t>variance_pct</t>
  </si>
  <si>
    <t>still_run_hrs</t>
  </si>
  <si>
    <t>energy_consumed_GJ</t>
  </si>
  <si>
    <t>abv_target_pct</t>
  </si>
  <si>
    <t>abv_actual_pct</t>
  </si>
  <si>
    <t>downtime_hrs</t>
  </si>
  <si>
    <t>downtime_reason</t>
  </si>
  <si>
    <t>qc_status</t>
  </si>
  <si>
    <t>erp_batch_ref</t>
  </si>
  <si>
    <t>notes</t>
  </si>
  <si>
    <t>BTH-2023-0001</t>
  </si>
  <si>
    <t>SITE-01</t>
  </si>
  <si>
    <t>Single Malt Whisky</t>
  </si>
  <si>
    <t>Blending</t>
  </si>
  <si>
    <t>OP-05</t>
  </si>
  <si>
    <t>Day</t>
  </si>
  <si>
    <t>PASS</t>
  </si>
  <si>
    <t>ERP-2023-0087</t>
  </si>
  <si>
    <t>BTH-2023-0002</t>
  </si>
  <si>
    <t>SITE-03</t>
  </si>
  <si>
    <t>Maturation</t>
  </si>
  <si>
    <t>OP-04</t>
  </si>
  <si>
    <t>Night</t>
  </si>
  <si>
    <t>ERP-2023-0086</t>
  </si>
  <si>
    <t>BTH-2023-0003</t>
  </si>
  <si>
    <t>White Rum</t>
  </si>
  <si>
    <t>FAIL</t>
  </si>
  <si>
    <t>ERP-2023-0160</t>
  </si>
  <si>
    <t>Extended downtime — operations manager notified</t>
  </si>
  <si>
    <t>BTH-2023-0004</t>
  </si>
  <si>
    <t>SITE-05</t>
  </si>
  <si>
    <t>Fermentation</t>
  </si>
  <si>
    <t>OP-02</t>
  </si>
  <si>
    <t>Cooling water interruption</t>
  </si>
  <si>
    <t>ERP-2023-0022</t>
  </si>
  <si>
    <t>BTH-2023-0005</t>
  </si>
  <si>
    <t>Distillation</t>
  </si>
  <si>
    <t>ERP-2023-0007</t>
  </si>
  <si>
    <t>BTH-2023-0006</t>
  </si>
  <si>
    <t>SITE-04</t>
  </si>
  <si>
    <t>ERP-2023-0035</t>
  </si>
  <si>
    <t>BTH-2023-0007</t>
  </si>
  <si>
    <t>Vodka</t>
  </si>
  <si>
    <t>OP-01</t>
  </si>
  <si>
    <t>ERP-2023-0015</t>
  </si>
  <si>
    <t>ABV over-strength — blending adjustment applied</t>
  </si>
  <si>
    <t>BTH-2023-0008</t>
  </si>
  <si>
    <t>OP-03</t>
  </si>
  <si>
    <t>ERP-2023-0146</t>
  </si>
  <si>
    <t>ABV under-strength — batch held pending QC review</t>
  </si>
  <si>
    <t>BTH-2023-0009</t>
  </si>
  <si>
    <t>ERP-2023-0027</t>
  </si>
  <si>
    <t>BTH-2023-0010</t>
  </si>
  <si>
    <t>ERP-2023-0170</t>
  </si>
  <si>
    <t>Yield below threshold — reviewed with production lead</t>
  </si>
  <si>
    <t>BTH-2023-0011</t>
  </si>
  <si>
    <t>ERP-2023-0004</t>
  </si>
  <si>
    <t>BTH-2023-0012</t>
  </si>
  <si>
    <t>Yeast propagation delay</t>
  </si>
  <si>
    <t>ERP-2023-0016</t>
  </si>
  <si>
    <t>BTH-2023-0013</t>
  </si>
  <si>
    <t>ERP-2023-0186</t>
  </si>
  <si>
    <t>BTH-2023-0014</t>
  </si>
  <si>
    <t>Rye Whisky</t>
  </si>
  <si>
    <t>ERP-2023-0079</t>
  </si>
  <si>
    <t>BTH-2023-0015</t>
  </si>
  <si>
    <t>ERP-2023-0188</t>
  </si>
  <si>
    <t>BTH-2023-0016</t>
  </si>
  <si>
    <t>ERP-2023-0124</t>
  </si>
  <si>
    <t>BTH-2023-0017</t>
  </si>
  <si>
    <t>ERP-2023-0148</t>
  </si>
  <si>
    <t>BTH-2023-0018</t>
  </si>
  <si>
    <t>ERP-2023-0153</t>
  </si>
  <si>
    <t>BTH-2023-0019</t>
  </si>
  <si>
    <t>Still head gasket failure</t>
  </si>
  <si>
    <t>ERP-2023-0141</t>
  </si>
  <si>
    <t>BTH-2023-0020</t>
  </si>
  <si>
    <t>Bottling</t>
  </si>
  <si>
    <t>ERP-2023-0009</t>
  </si>
  <si>
    <t>BTH-2023-0021</t>
  </si>
  <si>
    <t>Gin</t>
  </si>
  <si>
    <t>ERP-2023-0182</t>
  </si>
  <si>
    <t>BTH-2023-0022</t>
  </si>
  <si>
    <t>ERP-2023-0066</t>
  </si>
  <si>
    <t>BTH-2023-0023</t>
  </si>
  <si>
    <t>SITE-02</t>
  </si>
  <si>
    <t>ERP-2023-0083</t>
  </si>
  <si>
    <t>BTH-2023-0024</t>
  </si>
  <si>
    <t>Power fluctuation</t>
  </si>
  <si>
    <t>ERP-2023-0025</t>
  </si>
  <si>
    <t>BTH-2023-0025</t>
  </si>
  <si>
    <t>ERP-2023-0109</t>
  </si>
  <si>
    <t>BTH-2023-0026</t>
  </si>
  <si>
    <t>Mashing</t>
  </si>
  <si>
    <t>ERP-2023-0061</t>
  </si>
  <si>
    <t>BTH-2023-0027</t>
  </si>
  <si>
    <t>ERP-2023-0142</t>
  </si>
  <si>
    <t>BTH-2023-0028</t>
  </si>
  <si>
    <t>ERP-2023-0149</t>
  </si>
  <si>
    <t>BTH-2023-0029</t>
  </si>
  <si>
    <t>ERP-2023-0198</t>
  </si>
  <si>
    <t>BTH-2023-0030</t>
  </si>
  <si>
    <t>ERP-2023-0163</t>
  </si>
  <si>
    <t>BTH-2023-0031</t>
  </si>
  <si>
    <t>ERP-2023-0036</t>
  </si>
  <si>
    <t>BTH-2023-0032</t>
  </si>
  <si>
    <t>ERP-2023-0134</t>
  </si>
  <si>
    <t>BTH-2023-0033</t>
  </si>
  <si>
    <t>ERP-2023-0102</t>
  </si>
  <si>
    <t>BTH-2023-0034</t>
  </si>
  <si>
    <t>ERP-2023-0104</t>
  </si>
  <si>
    <t>BTH-2023-0035</t>
  </si>
  <si>
    <t>ERP-2023-0006</t>
  </si>
  <si>
    <t>BTH-2023-0036</t>
  </si>
  <si>
    <t>ERP-2023-0080</t>
  </si>
  <si>
    <t>BTH-2023-0037</t>
  </si>
  <si>
    <t>ERP-2023-0082</t>
  </si>
  <si>
    <t>BTH-2023-0038</t>
  </si>
  <si>
    <t>ERP-2023-0051</t>
  </si>
  <si>
    <t>BTH-2023-0039</t>
  </si>
  <si>
    <t>ERP-2023-0091</t>
  </si>
  <si>
    <t>BTH-2023-0040</t>
  </si>
  <si>
    <t>ERP-2023-0164</t>
  </si>
  <si>
    <t>BTH-2023-0041</t>
  </si>
  <si>
    <t>ERP-2023-0107</t>
  </si>
  <si>
    <t>BTH-2023-0042</t>
  </si>
  <si>
    <t>ERP-2023-0052</t>
  </si>
  <si>
    <t>BTH-2023-0043</t>
  </si>
  <si>
    <t>ERP-2023-0172</t>
  </si>
  <si>
    <t>BTH-2023-0044</t>
  </si>
  <si>
    <t>ERP-2023-0154</t>
  </si>
  <si>
    <t>BTH-2023-0045</t>
  </si>
  <si>
    <t>ERP-2023-0020</t>
  </si>
  <si>
    <t>BTH-2023-0046</t>
  </si>
  <si>
    <t>Scheduled CIP cleaning</t>
  </si>
  <si>
    <t>ERP-2023-0033</t>
  </si>
  <si>
    <t>BTH-2023-0047</t>
  </si>
  <si>
    <t>ERP-2023-0088</t>
  </si>
  <si>
    <t>BTH-2023-0048</t>
  </si>
  <si>
    <t>ERP-2023-0101</t>
  </si>
  <si>
    <t>BTH-2023-0049</t>
  </si>
  <si>
    <t>ERP-2023-0024</t>
  </si>
  <si>
    <t>BTH-2023-0050</t>
  </si>
  <si>
    <t>ERP-2023-0065</t>
  </si>
  <si>
    <t>BTH-2023-0051</t>
  </si>
  <si>
    <t>ERP-2023-0191</t>
  </si>
  <si>
    <t>BTH-2023-0052</t>
  </si>
  <si>
    <t>ERP-2023-0075</t>
  </si>
  <si>
    <t>BTH-2023-0053</t>
  </si>
  <si>
    <t>ERP-2023-0200</t>
  </si>
  <si>
    <t>BTH-2023-0054</t>
  </si>
  <si>
    <t>ERP-2023-0058</t>
  </si>
  <si>
    <t>BTH-2023-0055</t>
  </si>
  <si>
    <t>ERP-2023-0126</t>
  </si>
  <si>
    <t>BTH-2023-0056</t>
  </si>
  <si>
    <t>ERP-2023-0171</t>
  </si>
  <si>
    <t>BTH-2023-0057</t>
  </si>
  <si>
    <t>ERP-2023-0175</t>
  </si>
  <si>
    <t>BTH-2023-0058</t>
  </si>
  <si>
    <t>ERP-2023-0137</t>
  </si>
  <si>
    <t>BTH-2023-0059</t>
  </si>
  <si>
    <t>ERP-2023-0023</t>
  </si>
  <si>
    <t>BTH-2023-0060</t>
  </si>
  <si>
    <t>ERP-2023-0057</t>
  </si>
  <si>
    <t>BTH-2023-0061</t>
  </si>
  <si>
    <t>ERP-2023-0193</t>
  </si>
  <si>
    <t>BTH-2023-0062</t>
  </si>
  <si>
    <t>ERP-2023-0150</t>
  </si>
  <si>
    <t>BTH-2023-0063</t>
  </si>
  <si>
    <t>ERP-2023-0039</t>
  </si>
  <si>
    <t>BTH-2023-0064</t>
  </si>
  <si>
    <t>ERP-2023-0032</t>
  </si>
  <si>
    <t>BTH-2023-0065</t>
  </si>
  <si>
    <t>ERP-2023-0049</t>
  </si>
  <si>
    <t>BTH-2023-0066</t>
  </si>
  <si>
    <t>ERP-2023-0094</t>
  </si>
  <si>
    <t>BTH-2023-0067</t>
  </si>
  <si>
    <t>ERP-2023-0116</t>
  </si>
  <si>
    <t>BTH-2023-0068</t>
  </si>
  <si>
    <t>ERP-2023-0013</t>
  </si>
  <si>
    <t>BTH-2023-0069</t>
  </si>
  <si>
    <t>ERP-2023-0069</t>
  </si>
  <si>
    <t>BTH-2023-0070</t>
  </si>
  <si>
    <t>ERP-2023-0076</t>
  </si>
  <si>
    <t>BTH-2023-0071</t>
  </si>
  <si>
    <t>ERP-2023-0121</t>
  </si>
  <si>
    <t>BTH-2023-0072</t>
  </si>
  <si>
    <t>ERP-2023-0063</t>
  </si>
  <si>
    <t>BTH-2023-0073</t>
  </si>
  <si>
    <t>ERP-2023-0131</t>
  </si>
  <si>
    <t>BTH-2023-0074</t>
  </si>
  <si>
    <t>ERP-2023-0003</t>
  </si>
  <si>
    <t>BTH-2023-0075</t>
  </si>
  <si>
    <t>ERP-2023-0133</t>
  </si>
  <si>
    <t>BTH-2023-0076</t>
  </si>
  <si>
    <t>ERP-2023-0106</t>
  </si>
  <si>
    <t>BTH-2023-0077</t>
  </si>
  <si>
    <t>ERP-2023-0037</t>
  </si>
  <si>
    <t>BTH-2023-0078</t>
  </si>
  <si>
    <t>ERP-2023-0072</t>
  </si>
  <si>
    <t>BTH-2023-0079</t>
  </si>
  <si>
    <t>ERP-2023-0053</t>
  </si>
  <si>
    <t>BTH-2023-0080</t>
  </si>
  <si>
    <t>ERP-2023-0002</t>
  </si>
  <si>
    <t>BTH-2023-0081</t>
  </si>
  <si>
    <t>ERP-2023-0043</t>
  </si>
  <si>
    <t>BTH-2023-0082</t>
  </si>
  <si>
    <t>ERP-2023-0060</t>
  </si>
  <si>
    <t>BTH-2023-0083</t>
  </si>
  <si>
    <t>ERP-2023-0097</t>
  </si>
  <si>
    <t>BTH-2023-0084</t>
  </si>
  <si>
    <t>ERP-2023-0138</t>
  </si>
  <si>
    <t>BTH-2023-0085</t>
  </si>
  <si>
    <t>ERP-2023-0185</t>
  </si>
  <si>
    <t>BTH-2023-0086</t>
  </si>
  <si>
    <t>ERP-2023-0187</t>
  </si>
  <si>
    <t>BTH-2023-0087</t>
  </si>
  <si>
    <t>ERP-2023-0081</t>
  </si>
  <si>
    <t>BTH-2023-0088</t>
  </si>
  <si>
    <t>ERP-2023-0140</t>
  </si>
  <si>
    <t>BTH-2023-0089</t>
  </si>
  <si>
    <t>ERP-2023-0085</t>
  </si>
  <si>
    <t>BTH-2023-0090</t>
  </si>
  <si>
    <t>ERP-2023-0194</t>
  </si>
  <si>
    <t>BTH-2023-0091</t>
  </si>
  <si>
    <t>ERP-2023-0145</t>
  </si>
  <si>
    <t>BTH-2023-0092</t>
  </si>
  <si>
    <t>Instrument calibration</t>
  </si>
  <si>
    <t>ERP-2023-0179</t>
  </si>
  <si>
    <t>BTH-2023-0093</t>
  </si>
  <si>
    <t>ERP-2023-0190</t>
  </si>
  <si>
    <t>BTH-2023-0094</t>
  </si>
  <si>
    <t>ERP-2023-0157</t>
  </si>
  <si>
    <t>BTH-2023-0095</t>
  </si>
  <si>
    <t>ERP-2023-0014</t>
  </si>
  <si>
    <t>BTH-2023-0096</t>
  </si>
  <si>
    <t>ERP-2023-0050</t>
  </si>
  <si>
    <t>BTH-2023-0097</t>
  </si>
  <si>
    <t>ERP-2023-0067</t>
  </si>
  <si>
    <t>BTH-2023-0098</t>
  </si>
  <si>
    <t>ERP-2023-0054</t>
  </si>
  <si>
    <t>BTH-2023-0099</t>
  </si>
  <si>
    <t>ERP-2023-0034</t>
  </si>
  <si>
    <t>BTH-2023-0100</t>
  </si>
  <si>
    <t>ERP-2023-0162</t>
  </si>
  <si>
    <t>BTH-2023-0101</t>
  </si>
  <si>
    <t>ERP-2023-0135</t>
  </si>
  <si>
    <t>BTH-2023-0102</t>
  </si>
  <si>
    <t>ERP-2023-0118</t>
  </si>
  <si>
    <t>BTH-2023-0103</t>
  </si>
  <si>
    <t>ERP-2023-0042</t>
  </si>
  <si>
    <t>BTH-2023-0104</t>
  </si>
  <si>
    <t>ERP-2023-0099</t>
  </si>
  <si>
    <t>BTH-2023-0105</t>
  </si>
  <si>
    <t>ERP-2023-0143</t>
  </si>
  <si>
    <t>BTH-2023-0106</t>
  </si>
  <si>
    <t>ERP-2023-0111</t>
  </si>
  <si>
    <t>BTH-2023-0107</t>
  </si>
  <si>
    <t>ERP-2023-0147</t>
  </si>
  <si>
    <t>BTH-2023-0108</t>
  </si>
  <si>
    <t>ERP-2023-0059</t>
  </si>
  <si>
    <t>BTH-2023-0109</t>
  </si>
  <si>
    <t>ERP-2023-0030</t>
  </si>
  <si>
    <t>BTH-2023-0110</t>
  </si>
  <si>
    <t>ERP-2023-0129</t>
  </si>
  <si>
    <t>BTH-2023-0111</t>
  </si>
  <si>
    <t>ERP-2023-0173</t>
  </si>
  <si>
    <t>BTH-2023-0112</t>
  </si>
  <si>
    <t>ERP-2023-0152</t>
  </si>
  <si>
    <t>BTH-2023-0113</t>
  </si>
  <si>
    <t>ERP-2023-0018</t>
  </si>
  <si>
    <t>BTH-2023-0114</t>
  </si>
  <si>
    <t>ERP-2023-0011</t>
  </si>
  <si>
    <t>BTH-2023-0115</t>
  </si>
  <si>
    <t>ERP-2023-0168</t>
  </si>
  <si>
    <t>BTH-2023-0116</t>
  </si>
  <si>
    <t>ERP-2023-0112</t>
  </si>
  <si>
    <t>BTH-2023-0117</t>
  </si>
  <si>
    <t>ERP-2023-0165</t>
  </si>
  <si>
    <t>BTH-2023-0118</t>
  </si>
  <si>
    <t>ERP-2023-0195</t>
  </si>
  <si>
    <t>BTH-2023-0119</t>
  </si>
  <si>
    <t>ERP-2023-0159</t>
  </si>
  <si>
    <t>BTH-2023-0120</t>
  </si>
  <si>
    <t>ERP-2023-0040</t>
  </si>
  <si>
    <t>BTH-2023-0121</t>
  </si>
  <si>
    <t>ERP-2023-0089</t>
  </si>
  <si>
    <t>BTH-2023-0122</t>
  </si>
  <si>
    <t>ERP-2023-0100</t>
  </si>
  <si>
    <t>BTH-2023-0123</t>
  </si>
  <si>
    <t>ERP-2023-0110</t>
  </si>
  <si>
    <t>BTH-2023-0124</t>
  </si>
  <si>
    <t>ERP-2023-0178</t>
  </si>
  <si>
    <t>BTH-2023-0125</t>
  </si>
  <si>
    <t>ERP-2023-0184</t>
  </si>
  <si>
    <t>BTH-2023-0126</t>
  </si>
  <si>
    <t>ERP-2023-0120</t>
  </si>
  <si>
    <t>BTH-2023-0127</t>
  </si>
  <si>
    <t>ERP-2023-0139</t>
  </si>
  <si>
    <t>BTH-2023-0128</t>
  </si>
  <si>
    <t>ERP-2023-0001</t>
  </si>
  <si>
    <t>BTH-2023-0129</t>
  </si>
  <si>
    <t>ERP-2023-0183</t>
  </si>
  <si>
    <t>BTH-2023-0130</t>
  </si>
  <si>
    <t>ERP-2023-0123</t>
  </si>
  <si>
    <t>BTH-2023-0131</t>
  </si>
  <si>
    <t>ERP-2023-0048</t>
  </si>
  <si>
    <t>BTH-2023-0132</t>
  </si>
  <si>
    <t>ERP-2023-0181</t>
  </si>
  <si>
    <t>BTH-2023-0133</t>
  </si>
  <si>
    <t>ERP-2023-0090</t>
  </si>
  <si>
    <t>BTH-2023-0134</t>
  </si>
  <si>
    <t>ERP-2023-0008</t>
  </si>
  <si>
    <t>BTH-2023-0135</t>
  </si>
  <si>
    <t>ERP-2023-0144</t>
  </si>
  <si>
    <t>BTH-2023-0136</t>
  </si>
  <si>
    <t>ERP-2023-0098</t>
  </si>
  <si>
    <t>BTH-2023-0137</t>
  </si>
  <si>
    <t>ERP-2023-0189</t>
  </si>
  <si>
    <t>BTH-2023-0138</t>
  </si>
  <si>
    <t>ERP-2023-0127</t>
  </si>
  <si>
    <t>BTH-2023-0139</t>
  </si>
  <si>
    <t>ERP-2023-0047</t>
  </si>
  <si>
    <t>BTH-2023-0140</t>
  </si>
  <si>
    <t>ERP-2023-0161</t>
  </si>
  <si>
    <t>BTH-2023-0141</t>
  </si>
  <si>
    <t>ERP-2023-0074</t>
  </si>
  <si>
    <t>BTH-2023-0142</t>
  </si>
  <si>
    <t>ERP-2023-0130</t>
  </si>
  <si>
    <t>BTH-2023-0143</t>
  </si>
  <si>
    <t>ERP-2023-0095</t>
  </si>
  <si>
    <t>BTH-2023-0144</t>
  </si>
  <si>
    <t>ERP-2023-0176</t>
  </si>
  <si>
    <t>BTH-2023-0145</t>
  </si>
  <si>
    <t>ERP-2023-0125</t>
  </si>
  <si>
    <t>BTH-2023-0146</t>
  </si>
  <si>
    <t>ERP-2023-0119</t>
  </si>
  <si>
    <t>BTH-2023-0147</t>
  </si>
  <si>
    <t>ERP-2023-0084</t>
  </si>
  <si>
    <t>BTH-2023-0148</t>
  </si>
  <si>
    <t>ERP-2023-0166</t>
  </si>
  <si>
    <t>BTH-2023-0149</t>
  </si>
  <si>
    <t>ERP-2023-0108</t>
  </si>
  <si>
    <t>BTH-2023-0150</t>
  </si>
  <si>
    <t>ERP-2023-0068</t>
  </si>
  <si>
    <t>BTH-2023-0151</t>
  </si>
  <si>
    <t>ERP-2023-0077</t>
  </si>
  <si>
    <t>BTH-2023-0152</t>
  </si>
  <si>
    <t>ERP-2023-0038</t>
  </si>
  <si>
    <t>BTH-2023-0153</t>
  </si>
  <si>
    <t>ERP-2023-0096</t>
  </si>
  <si>
    <t>BTH-2023-0154</t>
  </si>
  <si>
    <t>ERP-2023-0196</t>
  </si>
  <si>
    <t>BTH-2023-0155</t>
  </si>
  <si>
    <t>ERP-2023-0041</t>
  </si>
  <si>
    <t>BTH-2023-0156</t>
  </si>
  <si>
    <t>ERP-2023-0158</t>
  </si>
  <si>
    <t>BTH-2023-0157</t>
  </si>
  <si>
    <t>ERP-2023-0192</t>
  </si>
  <si>
    <t>BTH-2023-0158</t>
  </si>
  <si>
    <t>ERP-2023-0117</t>
  </si>
  <si>
    <t>BTH-2023-0159</t>
  </si>
  <si>
    <t>ERP-2023-0012</t>
  </si>
  <si>
    <t>BTH-2023-0160</t>
  </si>
  <si>
    <t>ERP-2023-0017</t>
  </si>
  <si>
    <t>BTH-2023-0161</t>
  </si>
  <si>
    <t>ERP-2023-0073</t>
  </si>
  <si>
    <t>BTH-2023-0162</t>
  </si>
  <si>
    <t>ERP-2023-0031</t>
  </si>
  <si>
    <t>BTH-2023-0163</t>
  </si>
  <si>
    <t>ERP-2023-0071</t>
  </si>
  <si>
    <t>BTH-2023-0164</t>
  </si>
  <si>
    <t>ERP-2023-0019</t>
  </si>
  <si>
    <t>BTH-2023-0165</t>
  </si>
  <si>
    <t>ERP-2023-0156</t>
  </si>
  <si>
    <t>BTH-2023-0166</t>
  </si>
  <si>
    <t>ERP-2023-0045</t>
  </si>
  <si>
    <t>BTH-2023-0167</t>
  </si>
  <si>
    <t>ERP-2023-0026</t>
  </si>
  <si>
    <t>BTH-2023-0168</t>
  </si>
  <si>
    <t>ERP-2023-0070</t>
  </si>
  <si>
    <t>BTH-2023-0169</t>
  </si>
  <si>
    <t>ERP-2023-0078</t>
  </si>
  <si>
    <t>BTH-2023-0170</t>
  </si>
  <si>
    <t>ERP-2023-0177</t>
  </si>
  <si>
    <t>BTH-2023-0171</t>
  </si>
  <si>
    <t>ERP-2023-0180</t>
  </si>
  <si>
    <t>BTH-2023-0172</t>
  </si>
  <si>
    <t>ERP-2023-0105</t>
  </si>
  <si>
    <t>BTH-2023-0173</t>
  </si>
  <si>
    <t>ERP-2023-0062</t>
  </si>
  <si>
    <t>BTH-2023-0174</t>
  </si>
  <si>
    <t>ERP-2023-0044</t>
  </si>
  <si>
    <t>BTH-2023-0175</t>
  </si>
  <si>
    <t>ERP-2023-0155</t>
  </si>
  <si>
    <t>BTH-2023-0176</t>
  </si>
  <si>
    <t>ERP-2023-0029</t>
  </si>
  <si>
    <t>BTH-2023-0177</t>
  </si>
  <si>
    <t>ERP-2023-0064</t>
  </si>
  <si>
    <t>BTH-2023-0178</t>
  </si>
  <si>
    <t>ERP-2023-0174</t>
  </si>
  <si>
    <t>BTH-2023-0179</t>
  </si>
  <si>
    <t>ERP-2023-0197</t>
  </si>
  <si>
    <t>BTH-2023-0180</t>
  </si>
  <si>
    <t>ERP-2023-0128</t>
  </si>
  <si>
    <t>BTH-2023-0181</t>
  </si>
  <si>
    <t>ERP-2023-0093</t>
  </si>
  <si>
    <t>BTH-2023-0182</t>
  </si>
  <si>
    <t>ERP-2023-0005</t>
  </si>
  <si>
    <t>BTH-2023-0183</t>
  </si>
  <si>
    <t>ERP-2023-0122</t>
  </si>
  <si>
    <t>BTH-2023-0184</t>
  </si>
  <si>
    <t>ERP-2023-0092</t>
  </si>
  <si>
    <t>BTH-2023-0185</t>
  </si>
  <si>
    <t>ERP-2023-0056</t>
  </si>
  <si>
    <t>BTH-2023-0186</t>
  </si>
  <si>
    <t>ERP-2023-0010</t>
  </si>
  <si>
    <t>BTH-2023-0187</t>
  </si>
  <si>
    <t>ERP-2023-0115</t>
  </si>
  <si>
    <t>BTH-2023-0188</t>
  </si>
  <si>
    <t>ERP-2023-0132</t>
  </si>
  <si>
    <t>BTH-2023-0189</t>
  </si>
  <si>
    <t>ERP-2023-0167</t>
  </si>
  <si>
    <t>BTH-2023-0190</t>
  </si>
  <si>
    <t>ERP-2023-0028</t>
  </si>
  <si>
    <t>BTH-2023-0191</t>
  </si>
  <si>
    <t>ERP-2023-0151</t>
  </si>
  <si>
    <t>BTH-2023-0192</t>
  </si>
  <si>
    <t>ERP-2023-0021</t>
  </si>
  <si>
    <t>BTH-2023-0193</t>
  </si>
  <si>
    <t>ERP-2023-0136</t>
  </si>
  <si>
    <t>BTH-2023-0194</t>
  </si>
  <si>
    <t>ERP-2023-0113</t>
  </si>
  <si>
    <t>BTH-2023-0195</t>
  </si>
  <si>
    <t>ERP-2023-0199</t>
  </si>
  <si>
    <t>BTH-2023-0196</t>
  </si>
  <si>
    <t>ERP-2023-0046</t>
  </si>
  <si>
    <t>BTH-2023-0197</t>
  </si>
  <si>
    <t>ERP-2023-0103</t>
  </si>
  <si>
    <t>BTH-2023-0198</t>
  </si>
  <si>
    <t>ERP-2023-0169</t>
  </si>
  <si>
    <t>BTH-2023-0199</t>
  </si>
  <si>
    <t>ERP-2023-0114</t>
  </si>
  <si>
    <t>BTH-2023-0200</t>
  </si>
  <si>
    <t>ERP-2023-0055</t>
  </si>
  <si>
    <t>reading_id</t>
  </si>
  <si>
    <t>reading_date</t>
  </si>
  <si>
    <t>batch_ref</t>
  </si>
  <si>
    <t>equipment_id</t>
  </si>
  <si>
    <t>qc_parameter</t>
  </si>
  <si>
    <t>unit_of_measure</t>
  </si>
  <si>
    <t>target_value</t>
  </si>
  <si>
    <t>measured_value</t>
  </si>
  <si>
    <t>deviation</t>
  </si>
  <si>
    <t>deviation_pct</t>
  </si>
  <si>
    <t>within_spec</t>
  </si>
  <si>
    <t>analyst_id</t>
  </si>
  <si>
    <t>method_ref</t>
  </si>
  <si>
    <t>QCR-2023-0001</t>
  </si>
  <si>
    <t>EQ-S01</t>
  </si>
  <si>
    <t>Copper (ppm)</t>
  </si>
  <si>
    <t>ppm</t>
  </si>
  <si>
    <t>YES</t>
  </si>
  <si>
    <t>QC-SOP-001</t>
  </si>
  <si>
    <t>QCR-2023-0002</t>
  </si>
  <si>
    <t>EQ-S02</t>
  </si>
  <si>
    <t>NO</t>
  </si>
  <si>
    <t>QC-SOP-002</t>
  </si>
  <si>
    <t>Out of spec — batch held for re-analysis</t>
  </si>
  <si>
    <t>QCR-2023-0003</t>
  </si>
  <si>
    <t>EQ-D02</t>
  </si>
  <si>
    <t>QCR-2023-0004</t>
  </si>
  <si>
    <t>Methanol (mg/L)</t>
  </si>
  <si>
    <t>mg/L</t>
  </si>
  <si>
    <t>QCR-2023-0005</t>
  </si>
  <si>
    <t>pH</t>
  </si>
  <si>
    <t>QC-SOP-004</t>
  </si>
  <si>
    <t>QCR-2023-0006</t>
  </si>
  <si>
    <t>EQ-D03</t>
  </si>
  <si>
    <t>Colour (EBC)</t>
  </si>
  <si>
    <t>EBC</t>
  </si>
  <si>
    <t>QCR-2023-0007</t>
  </si>
  <si>
    <t>EQ-D01</t>
  </si>
  <si>
    <t>QCR-2023-0008</t>
  </si>
  <si>
    <t>QCR-2023-0009</t>
  </si>
  <si>
    <t>Density (g/mL)</t>
  </si>
  <si>
    <t>g/mL</t>
  </si>
  <si>
    <t>QC-SOP-003</t>
  </si>
  <si>
    <t>Marginal deviation — supervisor notified</t>
  </si>
  <si>
    <t>QCR-2023-0010</t>
  </si>
  <si>
    <t>Turbidity (NTU)</t>
  </si>
  <si>
    <t>NTU</t>
  </si>
  <si>
    <t>QCR-2023-0011</t>
  </si>
  <si>
    <t>QCR-2023-0012</t>
  </si>
  <si>
    <t>QCR-2023-0013</t>
  </si>
  <si>
    <t>QCR-2023-0014</t>
  </si>
  <si>
    <t>Fusel Alcohols (mg/L)</t>
  </si>
  <si>
    <t>QCR-2023-0015</t>
  </si>
  <si>
    <t>QCR-2023-0016</t>
  </si>
  <si>
    <t>QCR-2023-0017</t>
  </si>
  <si>
    <t>QCR-2023-0018</t>
  </si>
  <si>
    <t>QCR-2023-0019</t>
  </si>
  <si>
    <t>QCR-2023-0020</t>
  </si>
  <si>
    <t>QCR-2023-0021</t>
  </si>
  <si>
    <t>QCR-2023-0022</t>
  </si>
  <si>
    <t>QCR-2023-0023</t>
  </si>
  <si>
    <t>QCR-2023-0024</t>
  </si>
  <si>
    <t>QCR-2023-0025</t>
  </si>
  <si>
    <t>QCR-2023-0026</t>
  </si>
  <si>
    <t>QCR-2023-0027</t>
  </si>
  <si>
    <t>ABV (%)</t>
  </si>
  <si>
    <t>% v/v</t>
  </si>
  <si>
    <t>QCR-2023-0028</t>
  </si>
  <si>
    <t>QCR-2023-0029</t>
  </si>
  <si>
    <t>QCR-2023-0030</t>
  </si>
  <si>
    <t>QCR-2023-0031</t>
  </si>
  <si>
    <t>QCR-2023-0032</t>
  </si>
  <si>
    <t>QCR-2023-0033</t>
  </si>
  <si>
    <t>QCR-2023-0034</t>
  </si>
  <si>
    <t>QCR-2023-0035</t>
  </si>
  <si>
    <t>QCR-2023-0036</t>
  </si>
  <si>
    <t>QCR-2023-0037</t>
  </si>
  <si>
    <t>QCR-2023-0038</t>
  </si>
  <si>
    <t>QCR-2023-0039</t>
  </si>
  <si>
    <t>QCR-2023-0040</t>
  </si>
  <si>
    <t>QCR-2023-0041</t>
  </si>
  <si>
    <t>QCR-2023-0042</t>
  </si>
  <si>
    <t>QCR-2023-0043</t>
  </si>
  <si>
    <t>QCR-2023-0044</t>
  </si>
  <si>
    <t>QCR-2023-0045</t>
  </si>
  <si>
    <t>QCR-2023-0046</t>
  </si>
  <si>
    <t>QCR-2023-0047</t>
  </si>
  <si>
    <t>QCR-2023-0048</t>
  </si>
  <si>
    <t>QCR-2023-0049</t>
  </si>
  <si>
    <t>QCR-2023-0050</t>
  </si>
  <si>
    <t>QCR-2023-0051</t>
  </si>
  <si>
    <t>QCR-2023-0052</t>
  </si>
  <si>
    <t>QCR-2023-0053</t>
  </si>
  <si>
    <t>QCR-2023-0054</t>
  </si>
  <si>
    <t>QCR-2023-0055</t>
  </si>
  <si>
    <t>QCR-2023-0056</t>
  </si>
  <si>
    <t>QCR-2023-0057</t>
  </si>
  <si>
    <t>QCR-2023-0058</t>
  </si>
  <si>
    <t>QCR-2023-0059</t>
  </si>
  <si>
    <t>QCR-2023-0060</t>
  </si>
  <si>
    <t>QCR-2023-0061</t>
  </si>
  <si>
    <t>QCR-2023-0062</t>
  </si>
  <si>
    <t>QCR-2023-0063</t>
  </si>
  <si>
    <t>QCR-2023-0064</t>
  </si>
  <si>
    <t>QCR-2023-0065</t>
  </si>
  <si>
    <t>QCR-2023-0066</t>
  </si>
  <si>
    <t>QCR-2023-0067</t>
  </si>
  <si>
    <t>QCR-2023-0068</t>
  </si>
  <si>
    <t>QCR-2023-0069</t>
  </si>
  <si>
    <t>QCR-2023-0070</t>
  </si>
  <si>
    <t>QCR-2023-0071</t>
  </si>
  <si>
    <t>QCR-2023-0072</t>
  </si>
  <si>
    <t>QCR-2023-0073</t>
  </si>
  <si>
    <t>QCR-2023-0074</t>
  </si>
  <si>
    <t>QCR-2023-0075</t>
  </si>
  <si>
    <t>QCR-2023-0076</t>
  </si>
  <si>
    <t>QCR-2023-0077</t>
  </si>
  <si>
    <t>QCR-2023-0078</t>
  </si>
  <si>
    <t>QCR-2023-0079</t>
  </si>
  <si>
    <t>QCR-2023-0080</t>
  </si>
  <si>
    <t>QCR-2023-0081</t>
  </si>
  <si>
    <t>QCR-2023-0082</t>
  </si>
  <si>
    <t>QCR-2023-0083</t>
  </si>
  <si>
    <t>QCR-2023-0084</t>
  </si>
  <si>
    <t>QCR-2023-0085</t>
  </si>
  <si>
    <t>QCR-2023-0086</t>
  </si>
  <si>
    <t>QCR-2023-0087</t>
  </si>
  <si>
    <t>QCR-2023-0088</t>
  </si>
  <si>
    <t>QCR-2023-0089</t>
  </si>
  <si>
    <t>QCR-2023-0090</t>
  </si>
  <si>
    <t>QCR-2023-0091</t>
  </si>
  <si>
    <t>QCR-2023-0092</t>
  </si>
  <si>
    <t>QCR-2023-0093</t>
  </si>
  <si>
    <t>QCR-2023-0094</t>
  </si>
  <si>
    <t>QCR-2023-0095</t>
  </si>
  <si>
    <t>QCR-2023-0096</t>
  </si>
  <si>
    <t>QCR-2023-0097</t>
  </si>
  <si>
    <t>QCR-2023-0098</t>
  </si>
  <si>
    <t>QCR-2023-0099</t>
  </si>
  <si>
    <t>QCR-2023-0100</t>
  </si>
  <si>
    <t>QCR-2023-0101</t>
  </si>
  <si>
    <t>QCR-2023-0102</t>
  </si>
  <si>
    <t>QCR-2023-0103</t>
  </si>
  <si>
    <t>QCR-2023-0104</t>
  </si>
  <si>
    <t>QCR-2023-0105</t>
  </si>
  <si>
    <t>QCR-2023-0106</t>
  </si>
  <si>
    <t>QCR-2023-0107</t>
  </si>
  <si>
    <t>QCR-2023-0108</t>
  </si>
  <si>
    <t>QCR-2023-0109</t>
  </si>
  <si>
    <t>QCR-2023-0110</t>
  </si>
  <si>
    <t>QCR-2023-0111</t>
  </si>
  <si>
    <t>QCR-2023-0112</t>
  </si>
  <si>
    <t>QCR-2023-0113</t>
  </si>
  <si>
    <t>QCR-2023-0114</t>
  </si>
  <si>
    <t>QCR-2023-0115</t>
  </si>
  <si>
    <t>QCR-2023-0116</t>
  </si>
  <si>
    <t>QCR-2023-0117</t>
  </si>
  <si>
    <t>QCR-2023-0118</t>
  </si>
  <si>
    <t>QCR-2023-0119</t>
  </si>
  <si>
    <t>QCR-2023-0120</t>
  </si>
  <si>
    <t>QCR-2023-0121</t>
  </si>
  <si>
    <t>QCR-2023-0122</t>
  </si>
  <si>
    <t>QCR-2023-0123</t>
  </si>
  <si>
    <t>QCR-2023-0124</t>
  </si>
  <si>
    <t>QCR-2023-0125</t>
  </si>
  <si>
    <t>QCR-2023-0126</t>
  </si>
  <si>
    <t>QCR-2023-0127</t>
  </si>
  <si>
    <t>QCR-2023-0128</t>
  </si>
  <si>
    <t>QCR-2023-0129</t>
  </si>
  <si>
    <t>QCR-2023-0130</t>
  </si>
  <si>
    <t>QCR-2023-0131</t>
  </si>
  <si>
    <t>QCR-2023-0132</t>
  </si>
  <si>
    <t>QCR-2023-0133</t>
  </si>
  <si>
    <t>QCR-2023-0134</t>
  </si>
  <si>
    <t>QCR-2023-0135</t>
  </si>
  <si>
    <t>QCR-2023-0136</t>
  </si>
  <si>
    <t>QCR-2023-0137</t>
  </si>
  <si>
    <t>QCR-2023-0138</t>
  </si>
  <si>
    <t>QCR-2023-0139</t>
  </si>
  <si>
    <t>QCR-2023-0140</t>
  </si>
  <si>
    <t>QCR-2023-0141</t>
  </si>
  <si>
    <t>QCR-2023-0142</t>
  </si>
  <si>
    <t>QCR-2023-0143</t>
  </si>
  <si>
    <t>QCR-2023-0144</t>
  </si>
  <si>
    <t>QCR-2023-0145</t>
  </si>
  <si>
    <t>QCR-2023-0146</t>
  </si>
  <si>
    <t>QCR-2023-0147</t>
  </si>
  <si>
    <t>QCR-2023-0148</t>
  </si>
  <si>
    <t>QCR-2023-0149</t>
  </si>
  <si>
    <t>QCR-2023-0150</t>
  </si>
  <si>
    <t>incident_id</t>
  </si>
  <si>
    <t>date_detected</t>
  </si>
  <si>
    <t>anomaly_type</t>
  </si>
  <si>
    <t>severity</t>
  </si>
  <si>
    <t>detected_by</t>
  </si>
  <si>
    <t>observed_value</t>
  </si>
  <si>
    <t>expected_value</t>
  </si>
  <si>
    <t>root_cause</t>
  </si>
  <si>
    <t>corrective_action</t>
  </si>
  <si>
    <t>status</t>
  </si>
  <si>
    <t>date_resolved</t>
  </si>
  <si>
    <t>resolution_days</t>
  </si>
  <si>
    <t>verified_by</t>
  </si>
  <si>
    <t>INC-2023-001</t>
  </si>
  <si>
    <t>EQ-M01</t>
  </si>
  <si>
    <t>ABV Out of Spec</t>
  </si>
  <si>
    <t>Low</t>
  </si>
  <si>
    <t>Process Temperature Deviation</t>
  </si>
  <si>
    <t>Manual data reconciliation completed</t>
  </si>
  <si>
    <t>Closed</t>
  </si>
  <si>
    <t>INC-2023-002</t>
  </si>
  <si>
    <t>Methanol Spike</t>
  </si>
  <si>
    <t>Critical</t>
  </si>
  <si>
    <t>ERP Sync Failure</t>
  </si>
  <si>
    <t>Process temperature brought within limits</t>
  </si>
  <si>
    <t>In Progress</t>
  </si>
  <si>
    <t>INC-2023-003</t>
  </si>
  <si>
    <t>Flow Rate Deviation</t>
  </si>
  <si>
    <t>High</t>
  </si>
  <si>
    <t>Yeast Culture Underperformance</t>
  </si>
  <si>
    <t>ERP record corrected and resubmitted</t>
  </si>
  <si>
    <t>INC-2023-004</t>
  </si>
  <si>
    <t>Yield Below Threshold</t>
  </si>
  <si>
    <t>Medium</t>
  </si>
  <si>
    <t>Instrument Calibration Drift</t>
  </si>
  <si>
    <t>Yeast culture replaced from reserve stock</t>
  </si>
  <si>
    <t>INC-2023-005</t>
  </si>
  <si>
    <t>EQ-F02</t>
  </si>
  <si>
    <t>Duplicate Record Detected</t>
  </si>
  <si>
    <t>Operator Data Entry Error</t>
  </si>
  <si>
    <t>INC-2023-006</t>
  </si>
  <si>
    <t>Sensor Drift</t>
  </si>
  <si>
    <t>Additional rinse cycle completed</t>
  </si>
  <si>
    <t>INC-2023-007</t>
  </si>
  <si>
    <t>EQ-F03</t>
  </si>
  <si>
    <t>Feedstock Composition Variance</t>
  </si>
  <si>
    <t>Batch parameters adjusted mid-run</t>
  </si>
  <si>
    <t>INC-2023-008</t>
  </si>
  <si>
    <t>Missing Batch Entry</t>
  </si>
  <si>
    <t>Instrument recalibrated and verified</t>
  </si>
  <si>
    <t>INC-2023-009</t>
  </si>
  <si>
    <t>Equipment isolated and work order raised</t>
  </si>
  <si>
    <t>INC-2023-010</t>
  </si>
  <si>
    <t>INC-2023-011</t>
  </si>
  <si>
    <t>INC-2023-012</t>
  </si>
  <si>
    <t>INC-2023-013</t>
  </si>
  <si>
    <t>INC-2023-014</t>
  </si>
  <si>
    <t>Temperature Exceedance</t>
  </si>
  <si>
    <t>INC-2023-015</t>
  </si>
  <si>
    <t>Density Out of Range</t>
  </si>
  <si>
    <t>INC-2023-016</t>
  </si>
  <si>
    <t>Pressure Relief Triggered</t>
  </si>
  <si>
    <t>INC-2023-017</t>
  </si>
  <si>
    <t>EQ-F01</t>
  </si>
  <si>
    <t>Open</t>
  </si>
  <si>
    <t>INC-2023-018</t>
  </si>
  <si>
    <t>EQ-P02</t>
  </si>
  <si>
    <t>INC-2023-019</t>
  </si>
  <si>
    <t>EQ-M02</t>
  </si>
  <si>
    <t>INC-2023-020</t>
  </si>
  <si>
    <t>INC-2023-021</t>
  </si>
  <si>
    <t>INC-2023-022</t>
  </si>
  <si>
    <t>EQ-P01</t>
  </si>
  <si>
    <t>INC-2023-023</t>
  </si>
  <si>
    <t>Cleaning Chemical Carryover</t>
  </si>
  <si>
    <t>INC-2023-024</t>
  </si>
  <si>
    <t>INC-2023-025</t>
  </si>
  <si>
    <t>INC-2023-026</t>
  </si>
  <si>
    <t>EQ-H01</t>
  </si>
  <si>
    <t>INC-2023-027</t>
  </si>
  <si>
    <t>INC-2023-028</t>
  </si>
  <si>
    <t>INC-2023-029</t>
  </si>
  <si>
    <t>INC-2023-030</t>
  </si>
  <si>
    <t>INC-2023-031</t>
  </si>
  <si>
    <t>INC-2023-032</t>
  </si>
  <si>
    <t>Equipment Malfunction</t>
  </si>
  <si>
    <t>INC-2023-033</t>
  </si>
  <si>
    <t>INC-2023-034</t>
  </si>
  <si>
    <t>INC-2023-035</t>
  </si>
  <si>
    <t>INC-2023-036</t>
  </si>
  <si>
    <t>INC-2023-037</t>
  </si>
  <si>
    <t>INC-2023-038</t>
  </si>
  <si>
    <t>INC-2023-039</t>
  </si>
  <si>
    <t>INC-2023-040</t>
  </si>
  <si>
    <t>INC-2023-041</t>
  </si>
  <si>
    <t>INC-2023-042</t>
  </si>
  <si>
    <t>INC-2023-043</t>
  </si>
  <si>
    <t>INC-2023-044</t>
  </si>
  <si>
    <t>INC-2023-045</t>
  </si>
  <si>
    <t>INC-2023-046</t>
  </si>
  <si>
    <t>INC-2023-047</t>
  </si>
  <si>
    <t>INC-2023-048</t>
  </si>
  <si>
    <t>INC-2023-049</t>
  </si>
  <si>
    <t>INC-2023-050</t>
  </si>
  <si>
    <t>INC-2023-051</t>
  </si>
  <si>
    <t>INC-2023-052</t>
  </si>
  <si>
    <t>INC-2023-053</t>
  </si>
  <si>
    <t>INC-2023-054</t>
  </si>
  <si>
    <t>INC-2023-055</t>
  </si>
  <si>
    <t>INC-2023-056</t>
  </si>
  <si>
    <t>INC-2023-057</t>
  </si>
  <si>
    <t>INC-2023-058</t>
  </si>
  <si>
    <t>INC-2023-059</t>
  </si>
  <si>
    <t>INC-2023-060</t>
  </si>
  <si>
    <t>INC-2023-061</t>
  </si>
  <si>
    <t>INC-2023-062</t>
  </si>
  <si>
    <t>INC-2023-063</t>
  </si>
  <si>
    <t>INC-2023-064</t>
  </si>
  <si>
    <t>INC-2023-065</t>
  </si>
  <si>
    <t>INC-2023-066</t>
  </si>
  <si>
    <t>INC-2023-067</t>
  </si>
  <si>
    <t>INC-2023-068</t>
  </si>
  <si>
    <t>INC-2023-069</t>
  </si>
  <si>
    <t>INC-2023-070</t>
  </si>
  <si>
    <t>INC-2023-071</t>
  </si>
  <si>
    <t>INC-2023-072</t>
  </si>
  <si>
    <t>INC-2023-073</t>
  </si>
  <si>
    <t>INC-2023-074</t>
  </si>
  <si>
    <t>INC-2023-075</t>
  </si>
  <si>
    <t>INC-2023-076</t>
  </si>
  <si>
    <t>INC-2023-077</t>
  </si>
  <si>
    <t>INC-2023-078</t>
  </si>
  <si>
    <t>INC-2023-079</t>
  </si>
  <si>
    <t>INC-2023-080</t>
  </si>
  <si>
    <t>INC-2023-081</t>
  </si>
  <si>
    <t>INC-2023-082</t>
  </si>
  <si>
    <t>INC-2023-083</t>
  </si>
  <si>
    <t>INC-2023-084</t>
  </si>
  <si>
    <t>INC-2023-085</t>
  </si>
  <si>
    <t>INC-2023-086</t>
  </si>
  <si>
    <t>INC-2023-087</t>
  </si>
  <si>
    <t>INC-2023-088</t>
  </si>
  <si>
    <t>INC-2023-089</t>
  </si>
  <si>
    <t>INC-2023-090</t>
  </si>
  <si>
    <t>record_id</t>
  </si>
  <si>
    <t>record_date</t>
  </si>
  <si>
    <t>material_id</t>
  </si>
  <si>
    <t>material_name</t>
  </si>
  <si>
    <t>category</t>
  </si>
  <si>
    <t>unit</t>
  </si>
  <si>
    <t>qty_ordered</t>
  </si>
  <si>
    <t>qty_received</t>
  </si>
  <si>
    <t>qty_consumed</t>
  </si>
  <si>
    <t>variance_qty</t>
  </si>
  <si>
    <t>unit_cost_CAD</t>
  </si>
  <si>
    <t>total_cost_CAD</t>
  </si>
  <si>
    <t>supplier</t>
  </si>
  <si>
    <t>po_number</t>
  </si>
  <si>
    <t>RMC-2023-0001</t>
  </si>
  <si>
    <t>RM-004</t>
  </si>
  <si>
    <t>Process Water</t>
  </si>
  <si>
    <t>Utility</t>
  </si>
  <si>
    <t>L</t>
  </si>
  <si>
    <t>Richardson International</t>
  </si>
  <si>
    <t>PO-2023-3932</t>
  </si>
  <si>
    <t>RMC-2023-0002</t>
  </si>
  <si>
    <t>RM-003</t>
  </si>
  <si>
    <t>Corn</t>
  </si>
  <si>
    <t>Grain</t>
  </si>
  <si>
    <t>kg</t>
  </si>
  <si>
    <t>FortisAlberta Utilities</t>
  </si>
  <si>
    <t>PO-2023-5253</t>
  </si>
  <si>
    <t>RMC-2023-0003</t>
  </si>
  <si>
    <t>ADM Grain</t>
  </si>
  <si>
    <t>PO-2023-7908</t>
  </si>
  <si>
    <t>RMC-2023-0004</t>
  </si>
  <si>
    <t>RM-008</t>
  </si>
  <si>
    <t>Natural Gas</t>
  </si>
  <si>
    <t>GJ</t>
  </si>
  <si>
    <t>Lallemand Brewing</t>
  </si>
  <si>
    <t>PO-2023-2580</t>
  </si>
  <si>
    <t>RMC-2023-0005</t>
  </si>
  <si>
    <t>Rahr Malting Co.</t>
  </si>
  <si>
    <t>PO-2023-7890</t>
  </si>
  <si>
    <t>RMC-2023-0006</t>
  </si>
  <si>
    <t>RM-009</t>
  </si>
  <si>
    <t>Electricity</t>
  </si>
  <si>
    <t>kWh</t>
  </si>
  <si>
    <t>PO-2023-8626</t>
  </si>
  <si>
    <t>RMC-2023-0007</t>
  </si>
  <si>
    <t>Kerry Ingredients</t>
  </si>
  <si>
    <t>PO-2023-9567</t>
  </si>
  <si>
    <t>RMC-2023-0008</t>
  </si>
  <si>
    <t>RM-006</t>
  </si>
  <si>
    <t>Botanicals Mix</t>
  </si>
  <si>
    <t>Flavourant</t>
  </si>
  <si>
    <t>PO-2023-6573</t>
  </si>
  <si>
    <t>RMC-2023-0009</t>
  </si>
  <si>
    <t>RM-001</t>
  </si>
  <si>
    <t>Malted Barley</t>
  </si>
  <si>
    <t>PO-2023-6148</t>
  </si>
  <si>
    <t>RMC-2023-0010</t>
  </si>
  <si>
    <t>PO-2023-4077</t>
  </si>
  <si>
    <t>RMC-2023-0011</t>
  </si>
  <si>
    <t>RM-005</t>
  </si>
  <si>
    <t>Yeast Culture</t>
  </si>
  <si>
    <t>Biological</t>
  </si>
  <si>
    <t>PO-2023-4063</t>
  </si>
  <si>
    <t>RMC-2023-0012</t>
  </si>
  <si>
    <t>PO-2023-6823</t>
  </si>
  <si>
    <t>RMC-2023-0013</t>
  </si>
  <si>
    <t>PO-2023-1845</t>
  </si>
  <si>
    <t>RMC-2023-0014</t>
  </si>
  <si>
    <t>PO-2023-7953</t>
  </si>
  <si>
    <t>RMC-2023-0015</t>
  </si>
  <si>
    <t>PO-2023-1500</t>
  </si>
  <si>
    <t>RMC-2023-0016</t>
  </si>
  <si>
    <t>PO-2023-2708</t>
  </si>
  <si>
    <t>RMC-2023-0017</t>
  </si>
  <si>
    <t>PO-2023-7298</t>
  </si>
  <si>
    <t>RMC-2023-0018</t>
  </si>
  <si>
    <t>RM-002</t>
  </si>
  <si>
    <t>Rye</t>
  </si>
  <si>
    <t>PO-2023-5042</t>
  </si>
  <si>
    <t>RMC-2023-0019</t>
  </si>
  <si>
    <t>PO-2023-1948</t>
  </si>
  <si>
    <t>Consumption variance flagged for review</t>
  </si>
  <si>
    <t>RMC-2023-0020</t>
  </si>
  <si>
    <t>PO-2023-6092</t>
  </si>
  <si>
    <t>RMC-2023-0021</t>
  </si>
  <si>
    <t>PO-2023-8450</t>
  </si>
  <si>
    <t>RMC-2023-0022</t>
  </si>
  <si>
    <t>PO-2023-2504</t>
  </si>
  <si>
    <t>RMC-2023-0023</t>
  </si>
  <si>
    <t>PO-2023-7587</t>
  </si>
  <si>
    <t>RMC-2023-0024</t>
  </si>
  <si>
    <t>PO-2023-9917</t>
  </si>
  <si>
    <t>RMC-2023-0025</t>
  </si>
  <si>
    <t>PO-2023-5156</t>
  </si>
  <si>
    <t>RMC-2023-0026</t>
  </si>
  <si>
    <t>PO-2023-1998</t>
  </si>
  <si>
    <t>RMC-2023-0027</t>
  </si>
  <si>
    <t>PO-2023-2564</t>
  </si>
  <si>
    <t>RMC-2023-0028</t>
  </si>
  <si>
    <t>PO-2023-4602</t>
  </si>
  <si>
    <t>RMC-2023-0029</t>
  </si>
  <si>
    <t>RM-007</t>
  </si>
  <si>
    <t>Caramel Colour</t>
  </si>
  <si>
    <t>Additive</t>
  </si>
  <si>
    <t>PO-2023-3550</t>
  </si>
  <si>
    <t>RMC-2023-0030</t>
  </si>
  <si>
    <t>PO-2023-9491</t>
  </si>
  <si>
    <t>RMC-2023-0031</t>
  </si>
  <si>
    <t>PO-2023-5587</t>
  </si>
  <si>
    <t>RMC-2023-0032</t>
  </si>
  <si>
    <t>PO-2023-3125</t>
  </si>
  <si>
    <t>RMC-2023-0033</t>
  </si>
  <si>
    <t>PO-2023-3497</t>
  </si>
  <si>
    <t>RMC-2023-0034</t>
  </si>
  <si>
    <t>PO-2023-6901</t>
  </si>
  <si>
    <t>RMC-2023-0035</t>
  </si>
  <si>
    <t>PO-2023-5025</t>
  </si>
  <si>
    <t>RMC-2023-0036</t>
  </si>
  <si>
    <t>PO-2023-5283</t>
  </si>
  <si>
    <t>RMC-2023-0037</t>
  </si>
  <si>
    <t>PO-2023-6826</t>
  </si>
  <si>
    <t>RMC-2023-0038</t>
  </si>
  <si>
    <t>PO-2023-8463</t>
  </si>
  <si>
    <t>RMC-2023-0039</t>
  </si>
  <si>
    <t>PO-2023-7094</t>
  </si>
  <si>
    <t>RMC-2023-0040</t>
  </si>
  <si>
    <t>PO-2023-6578</t>
  </si>
  <si>
    <t>RMC-2023-0041</t>
  </si>
  <si>
    <t>PO-2023-7902</t>
  </si>
  <si>
    <t>RMC-2023-0042</t>
  </si>
  <si>
    <t>PO-2023-9429</t>
  </si>
  <si>
    <t>RMC-2023-0043</t>
  </si>
  <si>
    <t>PO-2023-3742</t>
  </si>
  <si>
    <t>RMC-2023-0044</t>
  </si>
  <si>
    <t>PO-2023-7931</t>
  </si>
  <si>
    <t>RMC-2023-0045</t>
  </si>
  <si>
    <t>PO-2023-1240</t>
  </si>
  <si>
    <t>RMC-2023-0046</t>
  </si>
  <si>
    <t>PO-2023-7838</t>
  </si>
  <si>
    <t>RMC-2023-0047</t>
  </si>
  <si>
    <t>PO-2023-9250</t>
  </si>
  <si>
    <t>RMC-2023-0048</t>
  </si>
  <si>
    <t>PO-2023-7468</t>
  </si>
  <si>
    <t>RMC-2023-0049</t>
  </si>
  <si>
    <t>PO-2023-3666</t>
  </si>
  <si>
    <t>RMC-2023-0050</t>
  </si>
  <si>
    <t>PO-2023-4528</t>
  </si>
  <si>
    <t>RMC-2023-0051</t>
  </si>
  <si>
    <t>PO-2023-4798</t>
  </si>
  <si>
    <t>RMC-2023-0052</t>
  </si>
  <si>
    <t>PO-2023-8526</t>
  </si>
  <si>
    <t>RMC-2023-0053</t>
  </si>
  <si>
    <t>PO-2023-9011</t>
  </si>
  <si>
    <t>RMC-2023-0054</t>
  </si>
  <si>
    <t>PO-2023-2967</t>
  </si>
  <si>
    <t>RMC-2023-0055</t>
  </si>
  <si>
    <t>PO-2023-7486</t>
  </si>
  <si>
    <t>RMC-2023-0056</t>
  </si>
  <si>
    <t>PO-2023-8186</t>
  </si>
  <si>
    <t>RMC-2023-0057</t>
  </si>
  <si>
    <t>PO-2023-7365</t>
  </si>
  <si>
    <t>RMC-2023-0058</t>
  </si>
  <si>
    <t>PO-2023-1999</t>
  </si>
  <si>
    <t>RMC-2023-0059</t>
  </si>
  <si>
    <t>PO-2023-9271</t>
  </si>
  <si>
    <t>RMC-2023-0060</t>
  </si>
  <si>
    <t>PO-2023-1678</t>
  </si>
  <si>
    <t>RMC-2023-0061</t>
  </si>
  <si>
    <t>PO-2023-9338</t>
  </si>
  <si>
    <t>RMC-2023-0062</t>
  </si>
  <si>
    <t>PO-2023-4643</t>
  </si>
  <si>
    <t>RMC-2023-0063</t>
  </si>
  <si>
    <t>PO-2023-4960</t>
  </si>
  <si>
    <t>RMC-2023-0064</t>
  </si>
  <si>
    <t>PO-2023-9962</t>
  </si>
  <si>
    <t>RMC-2023-0065</t>
  </si>
  <si>
    <t>PO-2023-9235</t>
  </si>
  <si>
    <t>RMC-2023-0066</t>
  </si>
  <si>
    <t>PO-2023-7391</t>
  </si>
  <si>
    <t>RMC-2023-0067</t>
  </si>
  <si>
    <t>PO-2023-1172</t>
  </si>
  <si>
    <t>RMC-2023-0068</t>
  </si>
  <si>
    <t>PO-2023-5950</t>
  </si>
  <si>
    <t>RMC-2023-0069</t>
  </si>
  <si>
    <t>PO-2023-4335</t>
  </si>
  <si>
    <t>RMC-2023-0070</t>
  </si>
  <si>
    <t>PO-2023-8367</t>
  </si>
  <si>
    <t>RMC-2023-0071</t>
  </si>
  <si>
    <t>PO-2023-6426</t>
  </si>
  <si>
    <t>RMC-2023-0072</t>
  </si>
  <si>
    <t>PO-2023-8825</t>
  </si>
  <si>
    <t>RMC-2023-0073</t>
  </si>
  <si>
    <t>PO-2023-3804</t>
  </si>
  <si>
    <t>RMC-2023-0074</t>
  </si>
  <si>
    <t>PO-2023-1435</t>
  </si>
  <si>
    <t>RMC-2023-0075</t>
  </si>
  <si>
    <t>PO-2023-6097</t>
  </si>
  <si>
    <t>RMC-2023-0076</t>
  </si>
  <si>
    <t>PO-2023-4352</t>
  </si>
  <si>
    <t>RMC-2023-0077</t>
  </si>
  <si>
    <t>PO-2023-2239</t>
  </si>
  <si>
    <t>RMC-2023-0078</t>
  </si>
  <si>
    <t>PO-2023-9152</t>
  </si>
  <si>
    <t>RMC-2023-0079</t>
  </si>
  <si>
    <t>PO-2023-1465</t>
  </si>
  <si>
    <t>RMC-2023-0080</t>
  </si>
  <si>
    <t>PO-2023-7884</t>
  </si>
  <si>
    <t>RMC-2023-0081</t>
  </si>
  <si>
    <t>PO-2023-8724</t>
  </si>
  <si>
    <t>RMC-2023-0082</t>
  </si>
  <si>
    <t>PO-2023-1555</t>
  </si>
  <si>
    <t>RMC-2023-0083</t>
  </si>
  <si>
    <t>PO-2023-1315</t>
  </si>
  <si>
    <t>RMC-2023-0084</t>
  </si>
  <si>
    <t>PO-2023-8083</t>
  </si>
  <si>
    <t>RMC-2023-0085</t>
  </si>
  <si>
    <t>PO-2023-6477</t>
  </si>
  <si>
    <t>RMC-2023-0086</t>
  </si>
  <si>
    <t>PO-2023-9531</t>
  </si>
  <si>
    <t>RMC-2023-0087</t>
  </si>
  <si>
    <t>PO-2023-7249</t>
  </si>
  <si>
    <t>RMC-2023-0088</t>
  </si>
  <si>
    <t>PO-2023-5388</t>
  </si>
  <si>
    <t>RMC-2023-0089</t>
  </si>
  <si>
    <t>PO-2023-4801</t>
  </si>
  <si>
    <t>RMC-2023-0090</t>
  </si>
  <si>
    <t>PO-2023-8260</t>
  </si>
  <si>
    <t>RMC-2023-0091</t>
  </si>
  <si>
    <t>PO-2023-9587</t>
  </si>
  <si>
    <t>RMC-2023-0092</t>
  </si>
  <si>
    <t>PO-2023-9277</t>
  </si>
  <si>
    <t>RMC-2023-0093</t>
  </si>
  <si>
    <t>PO-2023-3659</t>
  </si>
  <si>
    <t>RMC-2023-0094</t>
  </si>
  <si>
    <t>PO-2023-3722</t>
  </si>
  <si>
    <t>RMC-2023-0095</t>
  </si>
  <si>
    <t>PO-2023-5229</t>
  </si>
  <si>
    <t>RMC-2023-0096</t>
  </si>
  <si>
    <t>PO-2023-7927</t>
  </si>
  <si>
    <t>RMC-2023-0097</t>
  </si>
  <si>
    <t>PO-2023-2751</t>
  </si>
  <si>
    <t>RMC-2023-0098</t>
  </si>
  <si>
    <t>PO-2023-8840</t>
  </si>
  <si>
    <t>RMC-2023-0099</t>
  </si>
  <si>
    <t>PO-2023-6730</t>
  </si>
  <si>
    <t>RMC-2023-0100</t>
  </si>
  <si>
    <t>PO-2023-4953</t>
  </si>
  <si>
    <t>RMC-2023-0101</t>
  </si>
  <si>
    <t>PO-2023-9990</t>
  </si>
  <si>
    <t>RMC-2023-0102</t>
  </si>
  <si>
    <t>PO-2023-1053</t>
  </si>
  <si>
    <t>RMC-2023-0103</t>
  </si>
  <si>
    <t>PO-2023-5798</t>
  </si>
  <si>
    <t>RMC-2023-0104</t>
  </si>
  <si>
    <t>PO-2023-4483</t>
  </si>
  <si>
    <t>RMC-2023-0105</t>
  </si>
  <si>
    <t>PO-2023-2266</t>
  </si>
  <si>
    <t>RMC-2023-0106</t>
  </si>
  <si>
    <t>PO-2023-7973</t>
  </si>
  <si>
    <t>RMC-2023-0107</t>
  </si>
  <si>
    <t>PO-2023-9440</t>
  </si>
  <si>
    <t>RMC-2023-0108</t>
  </si>
  <si>
    <t>PO-2023-1700</t>
  </si>
  <si>
    <t>RMC-2023-0109</t>
  </si>
  <si>
    <t>PO-2023-2471</t>
  </si>
  <si>
    <t>RMC-2023-0110</t>
  </si>
  <si>
    <t>PO-2023-5888</t>
  </si>
  <si>
    <t>RMC-2023-0111</t>
  </si>
  <si>
    <t>PO-2023-4781</t>
  </si>
  <si>
    <t>RMC-2023-0112</t>
  </si>
  <si>
    <t>PO-2023-3370</t>
  </si>
  <si>
    <t>RMC-2023-0113</t>
  </si>
  <si>
    <t>PO-2023-4018</t>
  </si>
  <si>
    <t>RMC-2023-0114</t>
  </si>
  <si>
    <t>PO-2023-1794</t>
  </si>
  <si>
    <t>RMC-2023-0115</t>
  </si>
  <si>
    <t>PO-2023-6365</t>
  </si>
  <si>
    <t>RMC-2023-0116</t>
  </si>
  <si>
    <t>PO-2023-8740</t>
  </si>
  <si>
    <t>RMC-2023-0117</t>
  </si>
  <si>
    <t>PO-2023-8958</t>
  </si>
  <si>
    <t>RMC-2023-0118</t>
  </si>
  <si>
    <t>PO-2023-7297</t>
  </si>
  <si>
    <t>RMC-2023-0119</t>
  </si>
  <si>
    <t>PO-2023-3204</t>
  </si>
  <si>
    <t>RMC-2023-0120</t>
  </si>
  <si>
    <t>PO-2023-7805</t>
  </si>
  <si>
    <t>RMC-2023-0121</t>
  </si>
  <si>
    <t>PO-2023-2492</t>
  </si>
  <si>
    <t>RMC-2023-0122</t>
  </si>
  <si>
    <t>PO-2023-2135</t>
  </si>
  <si>
    <t>RMC-2023-0123</t>
  </si>
  <si>
    <t>PO-2023-8162</t>
  </si>
  <si>
    <t>RMC-2023-0124</t>
  </si>
  <si>
    <t>PO-2023-7680</t>
  </si>
  <si>
    <t>RMC-2023-0125</t>
  </si>
  <si>
    <t>PO-2023-2054</t>
  </si>
  <si>
    <t>RMC-2023-0126</t>
  </si>
  <si>
    <t>PO-2023-6423</t>
  </si>
  <si>
    <t>RMC-2023-0127</t>
  </si>
  <si>
    <t>PO-2023-6345</t>
  </si>
  <si>
    <t>RMC-2023-0128</t>
  </si>
  <si>
    <t>PO-2023-7328</t>
  </si>
  <si>
    <t>RMC-2023-0129</t>
  </si>
  <si>
    <t>PO-2023-6396</t>
  </si>
  <si>
    <t>RMC-2023-0130</t>
  </si>
  <si>
    <t>PO-2023-1121</t>
  </si>
  <si>
    <t>work_order_id</t>
  </si>
  <si>
    <t>date_raised</t>
  </si>
  <si>
    <t>maintenance_type</t>
  </si>
  <si>
    <t>priority</t>
  </si>
  <si>
    <t>assigned_to</t>
  </si>
  <si>
    <t>scheduled_date</t>
  </si>
  <si>
    <t>completion_date</t>
  </si>
  <si>
    <t>duration_hrs</t>
  </si>
  <si>
    <t>parts_used</t>
  </si>
  <si>
    <t>labour_cost_CAD</t>
  </si>
  <si>
    <t>parts_cost_CAD</t>
  </si>
  <si>
    <t>downtime_caused_hrs</t>
  </si>
  <si>
    <t>WO-2023-0001</t>
  </si>
  <si>
    <t>Inspection</t>
  </si>
  <si>
    <t>Sight glass</t>
  </si>
  <si>
    <t>Scheduled</t>
  </si>
  <si>
    <t>Awaiting scheduled maintenance window</t>
  </si>
  <si>
    <t>WO-2023-0002</t>
  </si>
  <si>
    <t>Filter element</t>
  </si>
  <si>
    <t>Completed</t>
  </si>
  <si>
    <t>WO-2023-0003</t>
  </si>
  <si>
    <t>Preventive</t>
  </si>
  <si>
    <t>None required</t>
  </si>
  <si>
    <t>Parts on order — estimated 3 days to completion</t>
  </si>
  <si>
    <t>WO-2023-0004</t>
  </si>
  <si>
    <t>Bearing assembly</t>
  </si>
  <si>
    <t>WO-2023-0005</t>
  </si>
  <si>
    <t>WO-2023-0006</t>
  </si>
  <si>
    <t>Pump impeller</t>
  </si>
  <si>
    <t>WO-2023-0007</t>
  </si>
  <si>
    <t>Corrective</t>
  </si>
  <si>
    <t>WO-2023-0008</t>
  </si>
  <si>
    <t>WO-2023-0009</t>
  </si>
  <si>
    <t>WO-2023-0010</t>
  </si>
  <si>
    <t>Gasket set</t>
  </si>
  <si>
    <t>WO-2023-0011</t>
  </si>
  <si>
    <t>Emergency</t>
  </si>
  <si>
    <t>Control valve stem</t>
  </si>
  <si>
    <t>Unplanned failure — production impacted</t>
  </si>
  <si>
    <t>WO-2023-0012</t>
  </si>
  <si>
    <t>Seal ring</t>
  </si>
  <si>
    <t>WO-2023-0013</t>
  </si>
  <si>
    <t>WO-2023-0014</t>
  </si>
  <si>
    <t>Pressure gauge</t>
  </si>
  <si>
    <t>WO-2023-0015</t>
  </si>
  <si>
    <t>WO-2023-0016</t>
  </si>
  <si>
    <t>WO-2023-0017</t>
  </si>
  <si>
    <t>WO-2023-0018</t>
  </si>
  <si>
    <t>WO-2023-0019</t>
  </si>
  <si>
    <t>WO-2023-0020</t>
  </si>
  <si>
    <t>WO-2023-0021</t>
  </si>
  <si>
    <t>WO-2023-0022</t>
  </si>
  <si>
    <t>WO-2023-0023</t>
  </si>
  <si>
    <t>WO-2023-0024</t>
  </si>
  <si>
    <t>WO-2023-0025</t>
  </si>
  <si>
    <t>Thermometer probe</t>
  </si>
  <si>
    <t>WO-2023-0026</t>
  </si>
  <si>
    <t>WO-2023-0027</t>
  </si>
  <si>
    <t>WO-2023-0028</t>
  </si>
  <si>
    <t>WO-2023-0029</t>
  </si>
  <si>
    <t>WO-2023-0030</t>
  </si>
  <si>
    <t>WO-2023-0031</t>
  </si>
  <si>
    <t>WO-2023-0032</t>
  </si>
  <si>
    <t>WO-2023-0033</t>
  </si>
  <si>
    <t>WO-2023-0034</t>
  </si>
  <si>
    <t>WO-2023-0035</t>
  </si>
  <si>
    <t>WO-2023-0036</t>
  </si>
  <si>
    <t>WO-2023-0037</t>
  </si>
  <si>
    <t>WO-2023-0038</t>
  </si>
  <si>
    <t>WO-2023-0039</t>
  </si>
  <si>
    <t>WO-2023-0040</t>
  </si>
  <si>
    <t>WO-2023-0041</t>
  </si>
  <si>
    <t>WO-2023-0042</t>
  </si>
  <si>
    <t>WO-2023-0043</t>
  </si>
  <si>
    <t>WO-2023-0044</t>
  </si>
  <si>
    <t>WO-2023-0045</t>
  </si>
  <si>
    <t>WO-2023-0046</t>
  </si>
  <si>
    <t>WO-2023-0047</t>
  </si>
  <si>
    <t>WO-2023-0048</t>
  </si>
  <si>
    <t>WO-2023-0049</t>
  </si>
  <si>
    <t>WO-2023-0050</t>
  </si>
  <si>
    <t>WO-2023-0051</t>
  </si>
  <si>
    <t>WO-2023-0052</t>
  </si>
  <si>
    <t>WO-2023-0053</t>
  </si>
  <si>
    <t>WO-2023-0054</t>
  </si>
  <si>
    <t>WO-2023-0055</t>
  </si>
  <si>
    <t>WO-2023-0056</t>
  </si>
  <si>
    <t>WO-2023-0057</t>
  </si>
  <si>
    <t>WO-2023-0058</t>
  </si>
  <si>
    <t>WO-2023-0059</t>
  </si>
  <si>
    <t>WO-2023-0060</t>
  </si>
  <si>
    <t>WO-2023-0061</t>
  </si>
  <si>
    <t>WO-2023-0062</t>
  </si>
  <si>
    <t>WO-2023-0063</t>
  </si>
  <si>
    <t>WO-2023-0064</t>
  </si>
  <si>
    <t>WO-2023-0065</t>
  </si>
  <si>
    <t>WO-2023-0066</t>
  </si>
  <si>
    <t>WO-2023-0067</t>
  </si>
  <si>
    <t>WO-2023-0068</t>
  </si>
  <si>
    <t>WO-2023-0069</t>
  </si>
  <si>
    <t>WO-2023-0070</t>
  </si>
  <si>
    <t>WO-2023-0071</t>
  </si>
  <si>
    <t>WO-2023-0072</t>
  </si>
  <si>
    <t>WO-2023-0073</t>
  </si>
  <si>
    <t>WO-2023-0074</t>
  </si>
  <si>
    <t>WO-2023-0075</t>
  </si>
  <si>
    <t>WO-2023-0076</t>
  </si>
  <si>
    <t>WO-2023-0077</t>
  </si>
  <si>
    <t>WO-2023-0078</t>
  </si>
  <si>
    <t>WO-2023-0079</t>
  </si>
  <si>
    <t>WO-2023-0080</t>
  </si>
  <si>
    <t>WO-2023-0081</t>
  </si>
  <si>
    <t>WO-2023-0082</t>
  </si>
  <si>
    <t>WO-2023-0083</t>
  </si>
  <si>
    <t>WO-2023-0084</t>
  </si>
  <si>
    <t>WO-2023-0085</t>
  </si>
  <si>
    <t>WO-2023-0086</t>
  </si>
  <si>
    <t>WO-2023-0087</t>
  </si>
  <si>
    <t>WO-2023-0088</t>
  </si>
  <si>
    <t>WO-2023-0089</t>
  </si>
  <si>
    <t>WO-2023-0090</t>
  </si>
  <si>
    <t>WO-2023-0091</t>
  </si>
  <si>
    <t>WO-2023-0092</t>
  </si>
  <si>
    <t>WO-2023-0093</t>
  </si>
  <si>
    <t>WO-2023-0094</t>
  </si>
  <si>
    <t>WO-2023-0095</t>
  </si>
  <si>
    <t>WO-2023-0096</t>
  </si>
  <si>
    <t>WO-2023-0097</t>
  </si>
  <si>
    <t>WO-2023-0098</t>
  </si>
  <si>
    <t>WO-2023-0099</t>
  </si>
  <si>
    <t>WO-2023-0100</t>
  </si>
  <si>
    <t>site_name</t>
  </si>
  <si>
    <t>region</t>
  </si>
  <si>
    <t>primary_function</t>
  </si>
  <si>
    <t>capacity_L_per_day</t>
  </si>
  <si>
    <t>operational_since</t>
  </si>
  <si>
    <t>Calgary Distillery</t>
  </si>
  <si>
    <t>Calgary Metro</t>
  </si>
  <si>
    <t>Distillation and Blending</t>
  </si>
  <si>
    <t>Okotoks Malting Plant</t>
  </si>
  <si>
    <t>South AB</t>
  </si>
  <si>
    <t>Grain Processing and Malting</t>
  </si>
  <si>
    <t>Airdrie Bottling Facility</t>
  </si>
  <si>
    <t>Central AB</t>
  </si>
  <si>
    <t>Bottling and Packaging</t>
  </si>
  <si>
    <t>Red Deer Grain Store</t>
  </si>
  <si>
    <t>Raw Material Storage</t>
  </si>
  <si>
    <t>Canmore Barrel House</t>
  </si>
  <si>
    <t>Foothills AB</t>
  </si>
  <si>
    <t>Maturation and Storage</t>
  </si>
  <si>
    <t>operator_name</t>
  </si>
  <si>
    <t>role</t>
  </si>
  <si>
    <t>primary_site</t>
  </si>
  <si>
    <t>years_experience</t>
  </si>
  <si>
    <t>T. Dinesh</t>
  </si>
  <si>
    <t>Senior Distiller</t>
  </si>
  <si>
    <t>K. Fraser</t>
  </si>
  <si>
    <t>Distiller</t>
  </si>
  <si>
    <t>R. Osei</t>
  </si>
  <si>
    <t>S. Patel</t>
  </si>
  <si>
    <t>Junior Distiller</t>
  </si>
  <si>
    <t>M. Chen</t>
  </si>
  <si>
    <t>Production Lead</t>
  </si>
  <si>
    <t>equipment_name</t>
  </si>
  <si>
    <t>equipment_type</t>
  </si>
  <si>
    <t>install_year</t>
  </si>
  <si>
    <t>design_capacity</t>
  </si>
  <si>
    <t>Mash Tun MT-1</t>
  </si>
  <si>
    <t>Process Vessel</t>
  </si>
  <si>
    <t>5,000 kg/batch</t>
  </si>
  <si>
    <t>Mash Tun MT-2</t>
  </si>
  <si>
    <t>Washback WB-1</t>
  </si>
  <si>
    <t>Fermentation Vessel</t>
  </si>
  <si>
    <t>25,000 L</t>
  </si>
  <si>
    <t>Washback WB-2</t>
  </si>
  <si>
    <t>Washback WB-3</t>
  </si>
  <si>
    <t>30,000 L</t>
  </si>
  <si>
    <t>Pot Still PS-1</t>
  </si>
  <si>
    <t>Distillation Column</t>
  </si>
  <si>
    <t>500 L charge</t>
  </si>
  <si>
    <t>Column Still CS-1</t>
  </si>
  <si>
    <t>Continuous 200 L/hr</t>
  </si>
  <si>
    <t>Spirit Safe SS-1</t>
  </si>
  <si>
    <t>Separator</t>
  </si>
  <si>
    <t>N/A</t>
  </si>
  <si>
    <t>Heat Exchanger HX-1</t>
  </si>
  <si>
    <t>Heat Transfer</t>
  </si>
  <si>
    <t>200 kW</t>
  </si>
  <si>
    <t>Transfer Pump P-01</t>
  </si>
  <si>
    <t>Rotating</t>
  </si>
  <si>
    <t>50 m3/hr</t>
  </si>
  <si>
    <t>Transfer Pump P-02</t>
  </si>
  <si>
    <t>Storage Tank T-01</t>
  </si>
  <si>
    <t>Storage</t>
  </si>
  <si>
    <t>100,000 L</t>
  </si>
  <si>
    <t>Storage Tank T-02</t>
  </si>
  <si>
    <t>80,000 L</t>
  </si>
  <si>
    <t>Row Labels</t>
  </si>
  <si>
    <t>Grand Total</t>
  </si>
  <si>
    <t>Feb</t>
  </si>
  <si>
    <t>Mar</t>
  </si>
  <si>
    <t>Apr</t>
  </si>
  <si>
    <t>Jun</t>
  </si>
  <si>
    <t>Jul</t>
  </si>
  <si>
    <t>Aug</t>
  </si>
  <si>
    <t>Sep</t>
  </si>
  <si>
    <t>Oct</t>
  </si>
  <si>
    <t>Nov</t>
  </si>
  <si>
    <t>Dec</t>
  </si>
  <si>
    <t>Actual_output_Litres</t>
  </si>
  <si>
    <t>Scheduled_output_Litres</t>
  </si>
  <si>
    <t>QC_Final</t>
  </si>
  <si>
    <t>QC %</t>
  </si>
  <si>
    <t>QC_Final Pass %</t>
  </si>
  <si>
    <t>Operator_Name</t>
  </si>
  <si>
    <t>Sites6.site_name</t>
  </si>
  <si>
    <t>Sites6.region</t>
  </si>
  <si>
    <t xml:space="preserve"> </t>
  </si>
  <si>
    <t>Column Labels</t>
  </si>
  <si>
    <t>Sum of downtime_hrs</t>
  </si>
  <si>
    <t>Count of downtime_hrs2</t>
  </si>
  <si>
    <t>Average of Energy Efficiency</t>
  </si>
  <si>
    <t>QC Status Count</t>
  </si>
  <si>
    <t>Operators.operator_name</t>
  </si>
  <si>
    <t>QC Pass %</t>
  </si>
  <si>
    <t xml:space="preserve">Downtime % </t>
  </si>
  <si>
    <t>Sum of actual_output_L</t>
  </si>
  <si>
    <t>May</t>
  </si>
  <si>
    <t xml:space="preserve">Energy Efficiency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</si>
</sst>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yyyy\-mm\-dd"/>
    <numFmt numFmtId="165" formatCode="#,##0.0"/>
    <numFmt numFmtId="166" formatCode="#,##0.0;\(#,##0.0\);\-"/>
    <numFmt numFmtId="167" formatCode="0.00%;\(0.00%\);\-"/>
    <numFmt numFmtId="168" formatCode="0.0"/>
    <numFmt numFmtId="169" formatCode="0.0000"/>
    <numFmt numFmtId="170" formatCode="0.0000;\(0.0000\);\-"/>
    <numFmt numFmtId="171" formatCode="\$#,##0.000"/>
    <numFmt numFmtId="172" formatCode="\$#,##0.00"/>
  </numFmts>
  <fonts count="5" x14ac:knownFonts="1">
    <font>
      <sz val="11"/>
      <color theme="1"/>
      <name val="Calibri"/>
      <family val="2"/>
      <scheme val="minor"/>
    </font>
    <font>
      <b/>
      <sz val="9"/>
      <color rgb="FFFFFFFF"/>
      <name val="Arial"/>
      <family val="2"/>
    </font>
    <font>
      <sz val="9"/>
      <name val="Arial"/>
      <family val="2"/>
    </font>
    <font>
      <b/>
      <sz val="9"/>
      <name val="Arial"/>
      <family val="2"/>
    </font>
    <font>
      <sz val="8"/>
      <name val="Calibri"/>
      <family val="2"/>
      <scheme val="minor"/>
    </font>
  </fonts>
  <fills count="8">
    <fill>
      <patternFill patternType="none"/>
    </fill>
    <fill>
      <patternFill patternType="gray125"/>
    </fill>
    <fill>
      <patternFill patternType="solid">
        <fgColor rgb="FF4AABA8"/>
      </patternFill>
    </fill>
    <fill>
      <patternFill patternType="solid">
        <fgColor rgb="FFF5F5F5"/>
      </patternFill>
    </fill>
    <fill>
      <patternFill patternType="solid">
        <fgColor rgb="FFD4EDDA"/>
      </patternFill>
    </fill>
    <fill>
      <patternFill patternType="solid">
        <fgColor rgb="FFFFD0D0"/>
      </patternFill>
    </fill>
    <fill>
      <patternFill patternType="solid">
        <fgColor rgb="FFFFF3CD"/>
      </patternFill>
    </fill>
    <fill>
      <patternFill patternType="solid">
        <fgColor rgb="FFFFB347"/>
      </patternFill>
    </fill>
  </fills>
  <borders count="4">
    <border>
      <left/>
      <right/>
      <top/>
      <bottom/>
      <diagonal/>
    </border>
    <border>
      <left style="thin">
        <color rgb="FF888888"/>
      </left>
      <right style="thin">
        <color rgb="FF888888"/>
      </right>
      <top style="thin">
        <color rgb="FF888888"/>
      </top>
      <bottom style="thin">
        <color rgb="FF888888"/>
      </bottom>
      <diagonal/>
    </border>
    <border>
      <left style="thin">
        <color rgb="FFCCCCCC"/>
      </left>
      <right style="thin">
        <color rgb="FFCCCCCC"/>
      </right>
      <top style="thin">
        <color rgb="FFCCCCCC"/>
      </top>
      <bottom style="thin">
        <color rgb="FFCCCCCC"/>
      </bottom>
      <diagonal/>
    </border>
    <border>
      <left style="thin">
        <color rgb="FF888888"/>
      </left>
      <right style="thin">
        <color rgb="FF888888"/>
      </right>
      <top/>
      <bottom/>
      <diagonal/>
    </border>
  </borders>
  <cellStyleXfs count="1">
    <xf numFmtId="0" fontId="0" fillId="0" borderId="0"/>
  </cellStyleXfs>
  <cellXfs count="65">
    <xf numFmtId="0" fontId="0" fillId="0" borderId="0" xfId="0"/>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xf>
    <xf numFmtId="164" fontId="2" fillId="3" borderId="2" xfId="0" applyNumberFormat="1" applyFont="1" applyFill="1" applyBorder="1" applyAlignment="1">
      <alignment horizontal="center" vertical="center"/>
    </xf>
    <xf numFmtId="0" fontId="2" fillId="3" borderId="2" xfId="0" applyFont="1" applyFill="1" applyBorder="1" applyAlignment="1">
      <alignment horizontal="left" vertical="center"/>
    </xf>
    <xf numFmtId="165" fontId="2" fillId="3" borderId="2" xfId="0" applyNumberFormat="1" applyFont="1" applyFill="1" applyBorder="1" applyAlignment="1">
      <alignment horizontal="right" vertical="center"/>
    </xf>
    <xf numFmtId="166" fontId="2" fillId="3" borderId="2" xfId="0" applyNumberFormat="1" applyFont="1" applyFill="1" applyBorder="1" applyAlignment="1">
      <alignment horizontal="right" vertical="center"/>
    </xf>
    <xf numFmtId="167" fontId="2" fillId="3" borderId="2" xfId="0" applyNumberFormat="1" applyFont="1" applyFill="1" applyBorder="1" applyAlignment="1">
      <alignment horizontal="right" vertical="center"/>
    </xf>
    <xf numFmtId="168" fontId="2" fillId="3" borderId="2" xfId="0" applyNumberFormat="1" applyFont="1" applyFill="1" applyBorder="1" applyAlignment="1">
      <alignment horizontal="right" vertical="center"/>
    </xf>
    <xf numFmtId="2" fontId="2" fillId="3" borderId="2" xfId="0" applyNumberFormat="1" applyFont="1" applyFill="1" applyBorder="1" applyAlignment="1">
      <alignment horizontal="right" vertical="center"/>
    </xf>
    <xf numFmtId="0" fontId="3" fillId="4" borderId="2" xfId="0" applyFont="1" applyFill="1" applyBorder="1" applyAlignment="1">
      <alignment horizontal="center" vertical="center"/>
    </xf>
    <xf numFmtId="0" fontId="2" fillId="0" borderId="2" xfId="0" applyFont="1" applyBorder="1" applyAlignment="1">
      <alignment horizontal="center" vertical="center"/>
    </xf>
    <xf numFmtId="164" fontId="2" fillId="0" borderId="2" xfId="0" applyNumberFormat="1" applyFont="1" applyBorder="1" applyAlignment="1">
      <alignment horizontal="center" vertical="center"/>
    </xf>
    <xf numFmtId="0" fontId="2" fillId="0" borderId="2" xfId="0" applyFont="1" applyBorder="1" applyAlignment="1">
      <alignment horizontal="left" vertical="center"/>
    </xf>
    <xf numFmtId="165" fontId="2" fillId="0" borderId="2" xfId="0" applyNumberFormat="1" applyFont="1" applyBorder="1" applyAlignment="1">
      <alignment horizontal="right" vertical="center"/>
    </xf>
    <xf numFmtId="166" fontId="2" fillId="0" borderId="2" xfId="0" applyNumberFormat="1" applyFont="1" applyBorder="1" applyAlignment="1">
      <alignment horizontal="right" vertical="center"/>
    </xf>
    <xf numFmtId="167" fontId="2" fillId="0" borderId="2" xfId="0" applyNumberFormat="1" applyFont="1" applyBorder="1" applyAlignment="1">
      <alignment horizontal="right" vertical="center"/>
    </xf>
    <xf numFmtId="168" fontId="2" fillId="0" borderId="2" xfId="0" applyNumberFormat="1" applyFont="1" applyBorder="1" applyAlignment="1">
      <alignment horizontal="right" vertical="center"/>
    </xf>
    <xf numFmtId="2" fontId="2" fillId="0" borderId="2" xfId="0" applyNumberFormat="1" applyFont="1" applyBorder="1" applyAlignment="1">
      <alignment horizontal="right" vertical="center"/>
    </xf>
    <xf numFmtId="168" fontId="2" fillId="5" borderId="2" xfId="0" applyNumberFormat="1" applyFont="1" applyFill="1" applyBorder="1" applyAlignment="1">
      <alignment horizontal="right" vertical="center"/>
    </xf>
    <xf numFmtId="0" fontId="3" fillId="5" borderId="2" xfId="0" applyFont="1" applyFill="1" applyBorder="1" applyAlignment="1">
      <alignment horizontal="center" vertical="center"/>
    </xf>
    <xf numFmtId="166" fontId="2" fillId="6" borderId="2" xfId="0" applyNumberFormat="1" applyFont="1" applyFill="1" applyBorder="1" applyAlignment="1">
      <alignment horizontal="right" vertical="center"/>
    </xf>
    <xf numFmtId="167" fontId="2" fillId="6" borderId="2" xfId="0" applyNumberFormat="1" applyFont="1" applyFill="1" applyBorder="1" applyAlignment="1">
      <alignment horizontal="right" vertical="center"/>
    </xf>
    <xf numFmtId="166" fontId="2" fillId="5" borderId="2" xfId="0" applyNumberFormat="1" applyFont="1" applyFill="1" applyBorder="1" applyAlignment="1">
      <alignment horizontal="right" vertical="center"/>
    </xf>
    <xf numFmtId="167" fontId="2" fillId="5" borderId="2" xfId="0" applyNumberFormat="1" applyFont="1" applyFill="1" applyBorder="1" applyAlignment="1">
      <alignment horizontal="right" vertical="center"/>
    </xf>
    <xf numFmtId="169" fontId="2" fillId="3" borderId="2" xfId="0" applyNumberFormat="1" applyFont="1" applyFill="1" applyBorder="1" applyAlignment="1">
      <alignment horizontal="right" vertical="center"/>
    </xf>
    <xf numFmtId="170" fontId="2" fillId="4" borderId="2" xfId="0" applyNumberFormat="1" applyFont="1" applyFill="1" applyBorder="1" applyAlignment="1">
      <alignment horizontal="right" vertical="center"/>
    </xf>
    <xf numFmtId="167" fontId="2" fillId="4" borderId="2" xfId="0" applyNumberFormat="1" applyFont="1" applyFill="1" applyBorder="1" applyAlignment="1">
      <alignment horizontal="right" vertical="center"/>
    </xf>
    <xf numFmtId="169" fontId="2" fillId="0" borderId="2" xfId="0" applyNumberFormat="1" applyFont="1" applyBorder="1" applyAlignment="1">
      <alignment horizontal="right" vertical="center"/>
    </xf>
    <xf numFmtId="170" fontId="2" fillId="5" borderId="2" xfId="0" applyNumberFormat="1" applyFont="1" applyFill="1" applyBorder="1" applyAlignment="1">
      <alignment horizontal="right" vertical="center"/>
    </xf>
    <xf numFmtId="4" fontId="2" fillId="3" borderId="2" xfId="0" applyNumberFormat="1" applyFont="1" applyFill="1" applyBorder="1" applyAlignment="1">
      <alignment horizontal="right" vertical="center"/>
    </xf>
    <xf numFmtId="1" fontId="2" fillId="3" borderId="2" xfId="0" applyNumberFormat="1" applyFont="1" applyFill="1" applyBorder="1" applyAlignment="1">
      <alignment horizontal="right" vertical="center"/>
    </xf>
    <xf numFmtId="4" fontId="2" fillId="0" borderId="2" xfId="0" applyNumberFormat="1" applyFont="1" applyBorder="1" applyAlignment="1">
      <alignment horizontal="right" vertical="center"/>
    </xf>
    <xf numFmtId="0" fontId="3" fillId="6" borderId="2" xfId="0" applyFont="1" applyFill="1" applyBorder="1" applyAlignment="1">
      <alignment horizontal="center" vertical="center"/>
    </xf>
    <xf numFmtId="1" fontId="2" fillId="0" borderId="2" xfId="0" applyNumberFormat="1" applyFont="1" applyBorder="1" applyAlignment="1">
      <alignment horizontal="right" vertical="center"/>
    </xf>
    <xf numFmtId="0" fontId="3" fillId="7" borderId="2" xfId="0" applyFont="1" applyFill="1" applyBorder="1" applyAlignment="1">
      <alignment horizontal="center" vertical="center"/>
    </xf>
    <xf numFmtId="167" fontId="2" fillId="7" borderId="2" xfId="0" applyNumberFormat="1" applyFont="1" applyFill="1" applyBorder="1" applyAlignment="1">
      <alignment horizontal="right" vertical="center"/>
    </xf>
    <xf numFmtId="0" fontId="3" fillId="0" borderId="2" xfId="0" applyFont="1" applyBorder="1" applyAlignment="1">
      <alignment horizontal="center" vertical="center"/>
    </xf>
    <xf numFmtId="171" fontId="2" fillId="3" borderId="2" xfId="0" applyNumberFormat="1" applyFont="1" applyFill="1" applyBorder="1" applyAlignment="1">
      <alignment horizontal="right" vertical="center"/>
    </xf>
    <xf numFmtId="172" fontId="2" fillId="3" borderId="2" xfId="0" applyNumberFormat="1" applyFont="1" applyFill="1" applyBorder="1" applyAlignment="1">
      <alignment horizontal="right" vertical="center"/>
    </xf>
    <xf numFmtId="171" fontId="2" fillId="0" borderId="2" xfId="0" applyNumberFormat="1" applyFont="1" applyBorder="1" applyAlignment="1">
      <alignment horizontal="right" vertical="center"/>
    </xf>
    <xf numFmtId="172" fontId="2" fillId="0" borderId="2" xfId="0" applyNumberFormat="1" applyFont="1" applyBorder="1" applyAlignment="1">
      <alignment horizontal="right" vertical="center"/>
    </xf>
    <xf numFmtId="3" fontId="2" fillId="3" borderId="2" xfId="0" applyNumberFormat="1" applyFont="1" applyFill="1" applyBorder="1" applyAlignment="1">
      <alignment horizontal="right" vertical="center"/>
    </xf>
    <xf numFmtId="3" fontId="2" fillId="0" borderId="2" xfId="0" applyNumberFormat="1" applyFont="1" applyBorder="1" applyAlignment="1">
      <alignment horizontal="right" vertical="center"/>
    </xf>
    <xf numFmtId="0" fontId="2" fillId="3" borderId="2" xfId="0" applyFont="1" applyFill="1" applyBorder="1" applyAlignment="1">
      <alignment horizontal="right" vertical="center"/>
    </xf>
    <xf numFmtId="0" fontId="2" fillId="0" borderId="2" xfId="0" applyFont="1" applyBorder="1" applyAlignment="1">
      <alignment horizontal="right" vertical="center"/>
    </xf>
    <xf numFmtId="0" fontId="0" fillId="0" borderId="0" xfId="0" pivotButton="1"/>
    <xf numFmtId="0" fontId="0" fillId="0" borderId="0" xfId="0" applyAlignment="1">
      <alignment horizontal="left"/>
    </xf>
    <xf numFmtId="165" fontId="0" fillId="0" borderId="0" xfId="0" applyNumberFormat="1"/>
    <xf numFmtId="14" fontId="2" fillId="3" borderId="2" xfId="0" applyNumberFormat="1" applyFont="1" applyFill="1" applyBorder="1" applyAlignment="1">
      <alignment horizontal="center" vertical="center"/>
    </xf>
    <xf numFmtId="14" fontId="2" fillId="0" borderId="2" xfId="0" applyNumberFormat="1" applyFont="1" applyBorder="1" applyAlignment="1">
      <alignment horizontal="center" vertical="center"/>
    </xf>
    <xf numFmtId="2" fontId="2" fillId="5" borderId="2" xfId="0" applyNumberFormat="1" applyFont="1" applyFill="1" applyBorder="1" applyAlignment="1">
      <alignment horizontal="right" vertical="center"/>
    </xf>
    <xf numFmtId="2" fontId="2" fillId="6" borderId="2" xfId="0" applyNumberFormat="1" applyFont="1" applyFill="1" applyBorder="1" applyAlignment="1">
      <alignment horizontal="right" vertical="center"/>
    </xf>
    <xf numFmtId="10" fontId="1" fillId="2" borderId="1" xfId="0" applyNumberFormat="1" applyFont="1" applyFill="1" applyBorder="1" applyAlignment="1">
      <alignment horizontal="center" vertical="center" wrapText="1"/>
    </xf>
    <xf numFmtId="10" fontId="2" fillId="3" borderId="2" xfId="0" applyNumberFormat="1" applyFont="1" applyFill="1" applyBorder="1" applyAlignment="1">
      <alignment horizontal="right" vertical="center"/>
    </xf>
    <xf numFmtId="10" fontId="2" fillId="0" borderId="2" xfId="0" applyNumberFormat="1" applyFont="1" applyBorder="1" applyAlignment="1">
      <alignment horizontal="right" vertical="center"/>
    </xf>
    <xf numFmtId="10" fontId="2" fillId="6" borderId="2" xfId="0" applyNumberFormat="1" applyFont="1" applyFill="1" applyBorder="1" applyAlignment="1">
      <alignment horizontal="right" vertical="center"/>
    </xf>
    <xf numFmtId="10" fontId="2" fillId="5" borderId="2" xfId="0" applyNumberFormat="1" applyFont="1" applyFill="1" applyBorder="1" applyAlignment="1">
      <alignment horizontal="right" vertical="center"/>
    </xf>
    <xf numFmtId="2" fontId="1" fillId="2" borderId="1" xfId="0" applyNumberFormat="1" applyFont="1" applyFill="1" applyBorder="1" applyAlignment="1">
      <alignment horizontal="center" vertical="center" wrapText="1"/>
    </xf>
    <xf numFmtId="10" fontId="0" fillId="0" borderId="0" xfId="0" applyNumberFormat="1"/>
    <xf numFmtId="2" fontId="0" fillId="0" borderId="0" xfId="0" applyNumberFormat="1"/>
    <xf numFmtId="0" fontId="1" fillId="2" borderId="3" xfId="0" applyFont="1" applyFill="1" applyBorder="1" applyAlignment="1">
      <alignment horizontal="center" vertical="center" wrapText="1"/>
    </xf>
    <xf numFmtId="168" fontId="0" fillId="0" borderId="0" xfId="0" applyNumberFormat="1"/>
    <xf numFmtId="0" fontId="0" fillId="0" borderId="0" xfId="0" applyAlignment="1">
      <alignment horizontal="left" indent="1"/>
    </xf>
    <xf numFmtId="0" fontId="0" fillId="0" borderId="0" xfId="0" applyNumberFormat="1"/>
  </cellXfs>
  <cellStyles count="1">
    <cellStyle name="Normal" xfId="0" builtinId="0"/>
  </cellStyles>
  <dxfs count="40">
    <dxf>
      <fill>
        <patternFill>
          <bgColor rgb="FF00B050"/>
        </patternFill>
      </fill>
    </dxf>
    <dxf>
      <fill>
        <patternFill>
          <bgColor rgb="FFFF0000"/>
        </patternFill>
      </fill>
    </dxf>
    <dxf>
      <fill>
        <patternFill>
          <bgColor theme="8" tint="0.59996337778862885"/>
        </patternFill>
      </fill>
    </dxf>
    <dxf>
      <numFmt numFmtId="0" formatCode="General"/>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9"/>
        <color auto="1"/>
        <name val="Arial"/>
        <family val="2"/>
        <scheme val="none"/>
      </font>
      <fill>
        <patternFill patternType="solid">
          <fgColor indexed="64"/>
          <bgColor rgb="FFD4EDDA"/>
        </patternFill>
      </fil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fill>
        <patternFill patternType="solid">
          <fgColor indexed="64"/>
          <bgColor rgb="FFF5F5F5"/>
        </patternFill>
      </fill>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168" formatCode="0.0"/>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168" formatCode="0.0"/>
      <fill>
        <patternFill patternType="solid">
          <fgColor indexed="64"/>
          <bgColor rgb="FFFFD0D0"/>
        </patternFill>
      </fill>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168" formatCode="0.0"/>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2" formatCode="0.00"/>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168" formatCode="0.0"/>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165" formatCode="#,##0.0"/>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165" formatCode="#,##0.0"/>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165" formatCode="#,##0.0"/>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165" formatCode="#,##0.0"/>
      <alignment horizontal="righ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0" formatCode="General"/>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alignment horizontal="left"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numFmt numFmtId="19" formatCode="yyyy/mm/dd"/>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val="0"/>
        <i val="0"/>
        <strike val="0"/>
        <condense val="0"/>
        <extend val="0"/>
        <outline val="0"/>
        <shadow val="0"/>
        <u val="none"/>
        <vertAlign val="baseline"/>
        <sz val="9"/>
        <color auto="1"/>
        <name val="Arial"/>
        <family val="2"/>
        <scheme val="none"/>
      </font>
      <alignment horizontal="center" vertical="center" textRotation="0" wrapText="0" indent="0" justifyLastLine="0" shrinkToFit="0" readingOrder="0"/>
      <border diagonalUp="0" diagonalDown="0">
        <left style="thin">
          <color rgb="FFCCCCCC"/>
        </left>
        <right style="thin">
          <color rgb="FFCCCCCC"/>
        </right>
        <top style="thin">
          <color rgb="FFCCCCCC"/>
        </top>
        <bottom style="thin">
          <color rgb="FFCCCCCC"/>
        </bottom>
        <vertical/>
        <horizontal/>
      </border>
    </dxf>
    <dxf>
      <font>
        <b/>
        <i val="0"/>
        <strike val="0"/>
        <condense val="0"/>
        <extend val="0"/>
        <outline val="0"/>
        <shadow val="0"/>
        <u val="none"/>
        <vertAlign val="baseline"/>
        <sz val="9"/>
        <color rgb="FFFFFFFF"/>
        <name val="Arial"/>
        <family val="2"/>
        <scheme val="none"/>
      </font>
      <fill>
        <patternFill patternType="solid">
          <fgColor indexed="64"/>
          <bgColor rgb="FF4AABA8"/>
        </patternFill>
      </fill>
      <alignment horizontal="center" vertical="center" textRotation="0" wrapText="1" indent="0" justifyLastLine="0" shrinkToFit="0" readingOrder="0"/>
      <border diagonalUp="0" diagonalDown="0" outline="0">
        <left style="thin">
          <color rgb="FF888888"/>
        </left>
        <right style="thin">
          <color rgb="FF888888"/>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colors>
    <mruColors>
      <color rgb="FFFFFF99"/>
      <color rgb="FFDEFB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worksheet" Target="worksheets/sheet10.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[Production_Operations_Dataset_2023.xlsx]Production Dashboard!PivotTable4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Yearly</a:t>
            </a:r>
            <a:r>
              <a:rPr lang="en-IN" baseline="0"/>
              <a:t> Production Scheduled VS Actual</a:t>
            </a:r>
            <a:endParaRPr lang="en-IN"/>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tx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'Production Dashboard'!$C$4</c:f>
              <c:strCache>
                <c:ptCount val="1"/>
                <c:pt idx="0">
                  <c:v>Actual_output_Litres</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Dashboard'!$A$5:$A$16</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'Production Dashboard'!$C$5:$C$16</c:f>
              <c:numCache>
                <c:formatCode>#,##0.0</c:formatCode>
                <c:ptCount val="11"/>
                <c:pt idx="0">
                  <c:v>2749.1000000000004</c:v>
                </c:pt>
                <c:pt idx="1">
                  <c:v>1001.3</c:v>
                </c:pt>
                <c:pt idx="2">
                  <c:v>3172.6</c:v>
                </c:pt>
                <c:pt idx="3">
                  <c:v>2147</c:v>
                </c:pt>
                <c:pt idx="4">
                  <c:v>2005.8</c:v>
                </c:pt>
                <c:pt idx="5">
                  <c:v>1715</c:v>
                </c:pt>
                <c:pt idx="6">
                  <c:v>904.4</c:v>
                </c:pt>
                <c:pt idx="7">
                  <c:v>804.09999999999991</c:v>
                </c:pt>
                <c:pt idx="8">
                  <c:v>2592.5</c:v>
                </c:pt>
                <c:pt idx="9">
                  <c:v>739.7</c:v>
                </c:pt>
                <c:pt idx="10">
                  <c:v>814.7</c:v>
                </c:pt>
              </c:numCache>
            </c:numRef>
          </c:val>
          <c:extLst>
            <c:ext xmlns:c16="http://schemas.microsoft.com/office/drawing/2014/chart" uri="{C3380CC4-5D6E-409C-BE32-E72D297353CC}">
              <c16:uniqueId val="{00000001-7AEC-4A2C-85E8-90970B877F46}"/>
            </c:ext>
          </c:extLst>
        </c:ser>
        <c:dLbls>
          <c:showLegendKey val="0"/>
          <c:showVal val="0"/>
          <c:showCatName val="0"/>
          <c:showSerName val="0"/>
          <c:showPercent val="0"/>
          <c:showBubbleSize val="0"/>
        </c:dLbls>
        <c:gapWidth val="150"/>
        <c:axId val="1129269248"/>
        <c:axId val="1129267328"/>
      </c:barChart>
      <c:lineChart>
        <c:grouping val="standard"/>
        <c:varyColors val="0"/>
        <c:ser>
          <c:idx val="0"/>
          <c:order val="0"/>
          <c:tx>
            <c:strRef>
              <c:f>'Production Dashboard'!$B$4</c:f>
              <c:strCache>
                <c:ptCount val="1"/>
                <c:pt idx="0">
                  <c:v>Scheduled_output_Litres</c:v>
                </c:pt>
              </c:strCache>
            </c:strRef>
          </c:tx>
          <c:spPr>
            <a:ln w="28575" cap="rnd">
              <a:solidFill>
                <a:schemeClr val="tx2">
                  <a:lumMod val="60000"/>
                  <a:lumOff val="40000"/>
                </a:schemeClr>
              </a:solidFill>
              <a:round/>
            </a:ln>
            <a:effectLst/>
          </c:spPr>
          <c:marker>
            <c:symbol val="none"/>
          </c:marker>
          <c:cat>
            <c:strRef>
              <c:f>'Production Dashboard'!$A$5:$A$16</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'Production Dashboard'!$B$5:$B$16</c:f>
              <c:numCache>
                <c:formatCode>#,##0.0</c:formatCode>
                <c:ptCount val="11"/>
                <c:pt idx="0">
                  <c:v>2656.1</c:v>
                </c:pt>
                <c:pt idx="1">
                  <c:v>1001.5</c:v>
                </c:pt>
                <c:pt idx="2">
                  <c:v>3256.9</c:v>
                </c:pt>
                <c:pt idx="3">
                  <c:v>2154</c:v>
                </c:pt>
                <c:pt idx="4">
                  <c:v>1958.4</c:v>
                </c:pt>
                <c:pt idx="5">
                  <c:v>1786.8000000000002</c:v>
                </c:pt>
                <c:pt idx="6">
                  <c:v>916.69999999999993</c:v>
                </c:pt>
                <c:pt idx="7">
                  <c:v>790.1</c:v>
                </c:pt>
                <c:pt idx="8">
                  <c:v>2610.4</c:v>
                </c:pt>
                <c:pt idx="9">
                  <c:v>752.7</c:v>
                </c:pt>
                <c:pt idx="10">
                  <c:v>858.90000000000009</c:v>
                </c:pt>
              </c:numCache>
            </c:numRef>
          </c:val>
          <c:smooth val="0"/>
          <c:extLst>
            <c:ext xmlns:c16="http://schemas.microsoft.com/office/drawing/2014/chart" uri="{C3380CC4-5D6E-409C-BE32-E72D297353CC}">
              <c16:uniqueId val="{00000000-7AEC-4A2C-85E8-90970B877F46}"/>
            </c:ext>
          </c:extLst>
        </c:ser>
        <c:dLbls>
          <c:showLegendKey val="0"/>
          <c:showVal val="0"/>
          <c:showCatName val="0"/>
          <c:showSerName val="0"/>
          <c:showPercent val="0"/>
          <c:showBubbleSize val="0"/>
        </c:dLbls>
        <c:marker val="1"/>
        <c:smooth val="0"/>
        <c:axId val="1129269248"/>
        <c:axId val="1129267328"/>
      </c:lineChart>
      <c:catAx>
        <c:axId val="1129269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9267328"/>
        <c:crosses val="autoZero"/>
        <c:auto val="1"/>
        <c:lblAlgn val="ctr"/>
        <c:lblOffset val="100"/>
        <c:noMultiLvlLbl val="0"/>
      </c:catAx>
      <c:valAx>
        <c:axId val="11292673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26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[Production_Operations_Dataset_2023.xlsx]Production Dashboard!PivotTable6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QC Pass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'Production Dashboard'!$B$45</c:f>
              <c:strCache>
                <c:ptCount val="1"/>
                <c:pt idx="0">
                  <c:v>Total</c:v>
                </c:pt>
              </c:strCache>
            </c:strRef>
          </c:tx>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Dashboard'!$A$46:$A$51</c:f>
              <c:strCache>
                <c:ptCount val="5"/>
                <c:pt idx="0">
                  <c:v>Gin</c:v>
                </c:pt>
                <c:pt idx="1">
                  <c:v>Rye Whisky</c:v>
                </c:pt>
                <c:pt idx="2">
                  <c:v>Single Malt Whisky</c:v>
                </c:pt>
                <c:pt idx="3">
                  <c:v>Vodka</c:v>
                </c:pt>
                <c:pt idx="4">
                  <c:v>White Rum</c:v>
                </c:pt>
              </c:strCache>
            </c:strRef>
          </c:cat>
          <c:val>
            <c:numRef>
              <c:f>'Production Dashboard'!$B$46:$B$51</c:f>
              <c:numCache>
                <c:formatCode>0.00%</c:formatCode>
                <c:ptCount val="5"/>
                <c:pt idx="0">
                  <c:v>0.83333333333333337</c:v>
                </c:pt>
                <c:pt idx="1">
                  <c:v>0.83333333333333337</c:v>
                </c:pt>
                <c:pt idx="2">
                  <c:v>0.33333333333333331</c:v>
                </c:pt>
                <c:pt idx="3">
                  <c:v>0.6</c:v>
                </c:pt>
                <c:pt idx="4">
                  <c:v>0.81818181818181823</c:v>
                </c:pt>
              </c:numCache>
            </c:numRef>
          </c:val>
          <c:extLst>
            <c:ext xmlns:c16="http://schemas.microsoft.com/office/drawing/2014/chart" uri="{C3380CC4-5D6E-409C-BE32-E72D297353CC}">
              <c16:uniqueId val="{00000000-FD25-45EA-94EB-A0A65351467C}"/>
            </c:ext>
          </c:extLst>
        </c:ser>
        <c:dLbls>
          <c:showLegendKey val="0"/>
          <c:showVal val="0"/>
          <c:showCatName val="0"/>
          <c:showSerName val="0"/>
          <c:showPercent val="0"/>
          <c:showBubbleSize val="0"/>
        </c:dLbls>
        <c:gapWidth val="182"/>
        <c:axId val="1675166368"/>
        <c:axId val="1675169248"/>
      </c:barChart>
      <c:catAx>
        <c:axId val="167516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75169248"/>
        <c:crosses val="autoZero"/>
        <c:auto val="1"/>
        <c:lblAlgn val="ctr"/>
        <c:lblOffset val="100"/>
        <c:noMultiLvlLbl val="0"/>
      </c:catAx>
      <c:valAx>
        <c:axId val="1675169248"/>
        <c:scaling>
          <c:orientation val="minMax"/>
        </c:scaling>
        <c:delete val="0"/>
        <c:axPos val="b"/>
        <c:numFmt formatCode="0.00%"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516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[Production_Operations_Dataset_2023.xlsx]Production Dashboard!PivotTable1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Downtime Hours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lumMod val="67000"/>
                </a:schemeClr>
              </a:gs>
              <a:gs pos="48000">
                <a:schemeClr val="accent2">
                  <a:lumMod val="97000"/>
                  <a:lumOff val="3000"/>
                </a:schemeClr>
              </a:gs>
              <a:gs pos="100000">
                <a:schemeClr val="accent2">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lumMod val="67000"/>
                </a:schemeClr>
              </a:gs>
              <a:gs pos="48000">
                <a:schemeClr val="accent2">
                  <a:lumMod val="97000"/>
                  <a:lumOff val="3000"/>
                </a:schemeClr>
              </a:gs>
              <a:gs pos="100000">
                <a:schemeClr val="accent2">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lumMod val="67000"/>
                </a:schemeClr>
              </a:gs>
              <a:gs pos="48000">
                <a:schemeClr val="accent2">
                  <a:lumMod val="97000"/>
                  <a:lumOff val="3000"/>
                </a:schemeClr>
              </a:gs>
              <a:gs pos="100000">
                <a:schemeClr val="accent2">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2">
                  <a:lumMod val="67000"/>
                </a:schemeClr>
              </a:gs>
              <a:gs pos="48000">
                <a:schemeClr val="accent2">
                  <a:lumMod val="97000"/>
                  <a:lumOff val="3000"/>
                </a:schemeClr>
              </a:gs>
              <a:gs pos="100000">
                <a:schemeClr val="accent2">
                  <a:lumMod val="60000"/>
                  <a:lumOff val="40000"/>
                </a:scheme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'Production Dashboard'!$B$23:$B$24</c:f>
              <c:strCache>
                <c:ptCount val="1"/>
                <c:pt idx="0">
                  <c:v>SITE-02</c:v>
                </c:pt>
              </c:strCache>
            </c:strRef>
          </c:tx>
          <c:spPr>
            <a:gradFill>
              <a:gsLst>
                <a:gs pos="0">
                  <a:schemeClr val="accent2">
                    <a:lumMod val="67000"/>
                  </a:schemeClr>
                </a:gs>
                <a:gs pos="48000">
                  <a:schemeClr val="accent2">
                    <a:lumMod val="97000"/>
                    <a:lumOff val="3000"/>
                  </a:schemeClr>
                </a:gs>
                <a:gs pos="100000">
                  <a:schemeClr val="accent2">
                    <a:lumMod val="60000"/>
                    <a:lumOff val="40000"/>
                  </a:schemeClr>
                </a:gs>
              </a:gsLst>
              <a:lin ang="162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'Production Dashboard'!$A$25:$A$36</c:f>
              <c:strCache>
                <c:ptCount val="11"/>
                <c:pt idx="0">
                  <c:v>Feb</c:v>
                </c:pt>
                <c:pt idx="1">
                  <c:v>Mar</c:v>
                </c:pt>
                <c:pt idx="2">
                  <c:v>Apr</c:v>
                </c:pt>
                <c:pt idx="3">
                  <c:v>May</c:v>
                </c:pt>
                <c:pt idx="4">
                  <c:v>Jun</c:v>
                </c:pt>
                <c:pt idx="5">
                  <c:v>Jul</c:v>
                </c:pt>
                <c:pt idx="6">
                  <c:v>Aug</c:v>
                </c:pt>
                <c:pt idx="7">
                  <c:v>Sep</c:v>
                </c:pt>
                <c:pt idx="8">
                  <c:v>Oct</c:v>
                </c:pt>
                <c:pt idx="9">
                  <c:v>Nov</c:v>
                </c:pt>
                <c:pt idx="10">
                  <c:v>Dec</c:v>
                </c:pt>
              </c:strCache>
            </c:strRef>
          </c:cat>
          <c:val>
            <c:numRef>
              <c:f>'Production Dashboard'!$B$25:$B$36</c:f>
              <c:numCache>
                <c:formatCode>0.0</c:formatCode>
                <c:ptCount val="11"/>
                <c:pt idx="0">
                  <c:v>9</c:v>
                </c:pt>
                <c:pt idx="1">
                  <c:v>0</c:v>
                </c:pt>
                <c:pt idx="2">
                  <c:v>8.5</c:v>
                </c:pt>
                <c:pt idx="3">
                  <c:v>7</c:v>
                </c:pt>
                <c:pt idx="4">
                  <c:v>5</c:v>
                </c:pt>
                <c:pt idx="5">
                  <c:v>0</c:v>
                </c:pt>
                <c:pt idx="6">
                  <c:v>2.5</c:v>
                </c:pt>
                <c:pt idx="7">
                  <c:v>5</c:v>
                </c:pt>
                <c:pt idx="8">
                  <c:v>8</c:v>
                </c:pt>
                <c:pt idx="9">
                  <c:v>0</c:v>
                </c:pt>
                <c:pt idx="10">
                  <c:v>3</c:v>
                </c:pt>
              </c:numCache>
            </c:numRef>
          </c:val>
          <c:extLst>
            <c:ext xmlns:c16="http://schemas.microsoft.com/office/drawing/2014/chart" uri="{C3380CC4-5D6E-409C-BE32-E72D297353CC}">
              <c16:uniqueId val="{00000000-09C1-4B05-8465-18DBA8EAC248}"/>
            </c:ext>
          </c:extLst>
        </c:ser>
        <c:dLbls>
          <c:showLegendKey val="0"/>
          <c:showVal val="0"/>
          <c:showCatName val="0"/>
          <c:showSerName val="0"/>
          <c:showPercent val="0"/>
          <c:showBubbleSize val="0"/>
        </c:dLbls>
        <c:gapWidth val="182"/>
        <c:axId val="997101375"/>
        <c:axId val="993531391"/>
      </c:barChart>
      <c:catAx>
        <c:axId val="997101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93531391"/>
        <c:crosses val="autoZero"/>
        <c:auto val="1"/>
        <c:lblAlgn val="ctr"/>
        <c:lblOffset val="100"/>
        <c:noMultiLvlLbl val="0"/>
      </c:catAx>
      <c:valAx>
        <c:axId val="993531391"/>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101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[Production_Operations_Dataset_2023.xlsx]Production Dashboard!PivotTable2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Reason</a:t>
            </a:r>
            <a:r>
              <a:rPr lang="en-IN" baseline="0"/>
              <a:t> for Downtime</a:t>
            </a:r>
            <a:endParaRPr lang="en-IN"/>
          </a:p>
        </c:rich>
      </c:tx>
      <c:overlay val="1"/>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'Production Dashboard'!$B$59:$B$60</c:f>
              <c:strCache>
                <c:ptCount val="1"/>
                <c:pt idx="0">
                  <c:v>SITE-02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9CE-4C62-86F8-F18D6AF9D8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9CE-4C62-86F8-F18D6AF9D8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9CE-4C62-86F8-F18D6AF9D8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9CE-4C62-86F8-F18D6AF9D86D}"/>
              </c:ext>
            </c:extLst>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'Production Dashboard'!$A$61:$A$66</c:f>
              <c:strCache>
                <c:ptCount val="5"/>
                <c:pt idx="0">
                  <c:v>Cooling water interruption</c:v>
                </c:pt>
                <c:pt idx="1">
                  <c:v>Instrument calibration</c:v>
                </c:pt>
                <c:pt idx="2">
                  <c:v>Power fluctuation</c:v>
                </c:pt>
                <c:pt idx="3">
                  <c:v>Scheduled CIP cleaning</c:v>
                </c:pt>
                <c:pt idx="4">
                  <c:v>Yeast propagation delay</c:v>
                </c:pt>
              </c:strCache>
            </c:strRef>
          </c:cat>
          <c:val>
            <c:numRef>
              <c:f>'Production Dashboard'!$B$61:$B$66</c:f>
              <c:numCache>
                <c:formatCode>General</c:formatCode>
                <c:ptCount val="5"/>
                <c:pt idx="0">
                  <c:v>3</c:v>
                </c:pt>
                <c:pt idx="1">
                  <c:v>2</c:v>
                </c:pt>
                <c:pt idx="2">
                  <c:v>3</c:v>
                </c:pt>
                <c:pt idx="3">
                  <c:v>1</c:v>
                </c:pt>
                <c:pt idx="4">
                  <c:v>3</c:v>
                </c:pt>
              </c:numCache>
            </c:numRef>
          </c:val>
          <c:extLst>
            <c:ext xmlns:c16="http://schemas.microsoft.com/office/drawing/2014/chart" uri="{C3380CC4-5D6E-409C-BE32-E72D297353CC}">
              <c16:uniqueId val="{00000000-A9B1-49F1-BDE8-54FD39BD63EE}"/>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[Production_Operations_Dataset_2023.xlsx]Production Dashboard!PivotTable3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Energy Efficiecy by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'Production Dashboard'!$B$73</c:f>
              <c:strCache>
                <c:ptCount val="1"/>
                <c:pt idx="0">
                  <c:v>Total</c:v>
                </c:pt>
              </c:strCache>
            </c:strRef>
          </c:tx>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'Production Dashboard'!$A$74:$A$80</c:f>
              <c:multiLvlStrCache>
                <c:ptCount val="5"/>
                <c:lvl>
                  <c:pt idx="0">
                    <c:v>Gin</c:v>
                  </c:pt>
                  <c:pt idx="1">
                    <c:v>Rye Whisky</c:v>
                  </c:pt>
                  <c:pt idx="2">
                    <c:v>Single Malt Whisky</c:v>
                  </c:pt>
                  <c:pt idx="3">
                    <c:v>Vodka</c:v>
                  </c:pt>
                  <c:pt idx="4">
                    <c:v>White Rum</c:v>
                  </c:pt>
                </c:lvl>
                <c:lvl>
                  <c:pt idx="0">
                    <c:v>SITE-02</c:v>
                  </c:pt>
                </c:lvl>
              </c:multiLvlStrCache>
            </c:multiLvlStrRef>
          </c:cat>
          <c:val>
            <c:numRef>
              <c:f>'Production Dashboard'!$B$74:$B$80</c:f>
              <c:numCache>
                <c:formatCode>0.00</c:formatCode>
                <c:ptCount val="5"/>
                <c:pt idx="0">
                  <c:v>1.9164513350559863E-2</c:v>
                </c:pt>
                <c:pt idx="1">
                  <c:v>2.6166566244895228E-2</c:v>
                </c:pt>
                <c:pt idx="2">
                  <c:v>3.5796958922762696E-2</c:v>
                </c:pt>
                <c:pt idx="3">
                  <c:v>2.7956017804415839E-2</c:v>
                </c:pt>
                <c:pt idx="4">
                  <c:v>2.3935918386047438E-2</c:v>
                </c:pt>
              </c:numCache>
            </c:numRef>
          </c:val>
          <c:extLst>
            <c:ext xmlns:c16="http://schemas.microsoft.com/office/drawing/2014/chart" uri="{C3380CC4-5D6E-409C-BE32-E72D297353CC}">
              <c16:uniqueId val="{00000000-F0EB-4653-A18A-CF8B5D83F7C6}"/>
            </c:ext>
          </c:extLst>
        </c:ser>
        <c:dLbls>
          <c:showLegendKey val="0"/>
          <c:showVal val="0"/>
          <c:showCatName val="0"/>
          <c:showSerName val="0"/>
          <c:showPercent val="0"/>
          <c:showBubbleSize val="0"/>
        </c:dLbls>
        <c:gapWidth val="219"/>
        <c:overlap val="-27"/>
        <c:axId val="601298800"/>
        <c:axId val="601286320"/>
      </c:barChart>
      <c:catAx>
        <c:axId val="60129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601286320"/>
        <c:crosses val="autoZero"/>
        <c:auto val="1"/>
        <c:lblAlgn val="ctr"/>
        <c:lblOffset val="100"/>
        <c:noMultiLvlLbl val="0"/>
      </c:catAx>
      <c:valAx>
        <c:axId val="601286320"/>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298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[Production_Operations_Dataset_2023.xlsx]Operator Dashboard!PivotTable1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Downtime Based On</a:t>
            </a:r>
            <a:r>
              <a:rPr lang="en-US" baseline="0"/>
              <a:t> Operator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'Operator Dashboard'!$B$3</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'Operator Dashboard'!$A$4:$A$9</c:f>
              <c:strCache>
                <c:ptCount val="5"/>
                <c:pt idx="0">
                  <c:v>K. Fraser</c:v>
                </c:pt>
                <c:pt idx="1">
                  <c:v>M. Chen</c:v>
                </c:pt>
                <c:pt idx="2">
                  <c:v>R. Osei</c:v>
                </c:pt>
                <c:pt idx="3">
                  <c:v>S. Patel</c:v>
                </c:pt>
                <c:pt idx="4">
                  <c:v>T. Dinesh</c:v>
                </c:pt>
              </c:strCache>
            </c:strRef>
          </c:cat>
          <c:val>
            <c:numRef>
              <c:f>'Operator Dashboard'!$B$4:$B$9</c:f>
              <c:numCache>
                <c:formatCode>0.00%</c:formatCode>
                <c:ptCount val="5"/>
                <c:pt idx="0">
                  <c:v>7.4969021065675295E-2</c:v>
                </c:pt>
                <c:pt idx="1">
                  <c:v>0.10971055088702152</c:v>
                </c:pt>
                <c:pt idx="2">
                  <c:v>0.11213408876298396</c:v>
                </c:pt>
                <c:pt idx="3">
                  <c:v>6.3392713850104337E-2</c:v>
                </c:pt>
                <c:pt idx="4">
                  <c:v>6.3475546305931316E-2</c:v>
                </c:pt>
              </c:numCache>
            </c:numRef>
          </c:val>
          <c:extLst>
            <c:ext xmlns:c16="http://schemas.microsoft.com/office/drawing/2014/chart" uri="{C3380CC4-5D6E-409C-BE32-E72D297353CC}">
              <c16:uniqueId val="{00000000-CD68-4B36-A56E-22DB1D318478}"/>
            </c:ext>
          </c:extLst>
        </c:ser>
        <c:dLbls>
          <c:showLegendKey val="0"/>
          <c:showVal val="0"/>
          <c:showCatName val="0"/>
          <c:showSerName val="0"/>
          <c:showPercent val="0"/>
          <c:showBubbleSize val="0"/>
        </c:dLbls>
        <c:gapWidth val="150"/>
        <c:axId val="101763760"/>
        <c:axId val="101762800"/>
      </c:barChart>
      <c:catAx>
        <c:axId val="10176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762800"/>
        <c:crosses val="autoZero"/>
        <c:auto val="1"/>
        <c:lblAlgn val="ctr"/>
        <c:lblOffset val="100"/>
        <c:noMultiLvlLbl val="0"/>
      </c:catAx>
      <c:valAx>
        <c:axId val="101762800"/>
        <c:scaling>
          <c:orientation val="minMax"/>
        </c:scaling>
        <c:delete val="1"/>
        <c:axPos val="b"/>
        <c:numFmt formatCode="0.00%" sourceLinked="1"/>
        <c:majorTickMark val="none"/>
        <c:minorTickMark val="none"/>
        <c:tickLblPos val="nextTo"/>
        <c:crossAx val="10176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[Production_Operations_Dataset_2023.xlsx]Operator Dashboard!PivotTable2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L produced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'Operator Dashboard'!$B$35</c:f>
              <c:strCache>
                <c:ptCount val="1"/>
                <c:pt idx="0">
                  <c:v>Total</c:v>
                </c:pt>
              </c:strCache>
            </c:strRef>
          </c:tx>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'Operator Dashboard'!$A$36:$A$40</c:f>
              <c:strCache>
                <c:ptCount val="5"/>
                <c:pt idx="0">
                  <c:v>K. Fraser</c:v>
                </c:pt>
                <c:pt idx="1">
                  <c:v>M. Chen</c:v>
                </c:pt>
                <c:pt idx="2">
                  <c:v>R. Osei</c:v>
                </c:pt>
                <c:pt idx="3">
                  <c:v>S. Patel</c:v>
                </c:pt>
                <c:pt idx="4">
                  <c:v>T. Dinesh</c:v>
                </c:pt>
              </c:strCache>
            </c:strRef>
          </c:cat>
          <c:val>
            <c:numRef>
              <c:f>'Operator Dashboard'!$B$36:$B$40</c:f>
              <c:numCache>
                <c:formatCode>General</c:formatCode>
                <c:ptCount val="5"/>
                <c:pt idx="0">
                  <c:v>32638.500000000015</c:v>
                </c:pt>
                <c:pt idx="1">
                  <c:v>26104.200000000008</c:v>
                </c:pt>
                <c:pt idx="2">
                  <c:v>18663.099999999999</c:v>
                </c:pt>
                <c:pt idx="3">
                  <c:v>27873.300000000003</c:v>
                </c:pt>
                <c:pt idx="4">
                  <c:v>16532</c:v>
                </c:pt>
              </c:numCache>
            </c:numRef>
          </c:val>
          <c:extLst>
            <c:ext xmlns:c16="http://schemas.microsoft.com/office/drawing/2014/chart" uri="{C3380CC4-5D6E-409C-BE32-E72D297353CC}">
              <c16:uniqueId val="{00000000-3EB6-43F1-8203-CA63D71F5047}"/>
            </c:ext>
          </c:extLst>
        </c:ser>
        <c:dLbls>
          <c:showLegendKey val="0"/>
          <c:showVal val="0"/>
          <c:showCatName val="0"/>
          <c:showSerName val="0"/>
          <c:showPercent val="0"/>
          <c:showBubbleSize val="0"/>
        </c:dLbls>
        <c:gapWidth val="182"/>
        <c:axId val="366255648"/>
        <c:axId val="366264288"/>
      </c:barChart>
      <c:catAx>
        <c:axId val="366255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66264288"/>
        <c:crosses val="autoZero"/>
        <c:auto val="1"/>
        <c:lblAlgn val="ctr"/>
        <c:lblOffset val="100"/>
        <c:noMultiLvlLbl val="0"/>
      </c:catAx>
      <c:valAx>
        <c:axId val="36626428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6625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[Production_Operations_Dataset_2023.xlsx]Operator Dashboard!PivotTable3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Percentage of Batches</a:t>
            </a:r>
            <a:r>
              <a:rPr lang="en-US" baseline="0"/>
              <a:t> Passing QC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'Operator Dashboard'!$B$13</c:f>
              <c:strCache>
                <c:ptCount val="1"/>
                <c:pt idx="0">
                  <c:v>Total</c:v>
                </c:pt>
              </c:strCache>
            </c:strRef>
          </c:tx>
          <c:spPr>
            <a:gradFill flip="none" rotWithShape="1">
              <a:gsLst>
                <a:gs pos="0">
                  <a:schemeClr val="accent3">
                    <a:lumMod val="89000"/>
                  </a:schemeClr>
                </a:gs>
                <a:gs pos="23000">
                  <a:schemeClr val="accent3">
                    <a:lumMod val="89000"/>
                  </a:schemeClr>
                </a:gs>
                <a:gs pos="69000">
                  <a:schemeClr val="accent3">
                    <a:lumMod val="75000"/>
                  </a:schemeClr>
                </a:gs>
                <a:gs pos="97000">
                  <a:schemeClr val="accent3">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'Operator Dashboard'!$A$14:$A$18</c:f>
              <c:strCache>
                <c:ptCount val="5"/>
                <c:pt idx="0">
                  <c:v>K. Fraser</c:v>
                </c:pt>
                <c:pt idx="1">
                  <c:v>M. Chen</c:v>
                </c:pt>
                <c:pt idx="2">
                  <c:v>R. Osei</c:v>
                </c:pt>
                <c:pt idx="3">
                  <c:v>S. Patel</c:v>
                </c:pt>
                <c:pt idx="4">
                  <c:v>T. Dinesh</c:v>
                </c:pt>
              </c:strCache>
            </c:strRef>
          </c:cat>
          <c:val>
            <c:numRef>
              <c:f>'Operator Dashboard'!$B$14:$B$18</c:f>
              <c:numCache>
                <c:formatCode>0.00%</c:formatCode>
                <c:ptCount val="5"/>
                <c:pt idx="0">
                  <c:v>0.765625</c:v>
                </c:pt>
                <c:pt idx="1">
                  <c:v>0.75510204081632648</c:v>
                </c:pt>
                <c:pt idx="2">
                  <c:v>0.5714285714285714</c:v>
                </c:pt>
                <c:pt idx="3">
                  <c:v>0.7678571428571429</c:v>
                </c:pt>
                <c:pt idx="4">
                  <c:v>0.69444444444444442</c:v>
                </c:pt>
              </c:numCache>
            </c:numRef>
          </c:val>
          <c:extLst>
            <c:ext xmlns:c16="http://schemas.microsoft.com/office/drawing/2014/chart" uri="{C3380CC4-5D6E-409C-BE32-E72D297353CC}">
              <c16:uniqueId val="{00000000-1025-4DCD-8B4E-2EFABEFD47DC}"/>
            </c:ext>
          </c:extLst>
        </c:ser>
        <c:dLbls>
          <c:showLegendKey val="0"/>
          <c:showVal val="0"/>
          <c:showCatName val="0"/>
          <c:showSerName val="0"/>
          <c:showPercent val="0"/>
          <c:showBubbleSize val="0"/>
        </c:dLbls>
        <c:gapWidth val="219"/>
        <c:axId val="366236448"/>
        <c:axId val="366226848"/>
      </c:barChart>
      <c:catAx>
        <c:axId val="36623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6226848"/>
        <c:crosses val="autoZero"/>
        <c:auto val="1"/>
        <c:lblAlgn val="ctr"/>
        <c:lblOffset val="100"/>
        <c:noMultiLvlLbl val="0"/>
      </c:catAx>
      <c:valAx>
        <c:axId val="366226848"/>
        <c:scaling>
          <c:orientation val="minMax"/>
        </c:scaling>
        <c:delete val="1"/>
        <c:axPos val="b"/>
        <c:numFmt formatCode="0.00%" sourceLinked="1"/>
        <c:majorTickMark val="none"/>
        <c:minorTickMark val="none"/>
        <c:tickLblPos val="nextTo"/>
        <c:crossAx val="36623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[Production_Operations_Dataset_2023.xlsx]Operator Dashboard!PivotTable7</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Energy</a:t>
            </a:r>
            <a:r>
              <a:rPr lang="en-US" baseline="0"/>
              <a:t> Efficiency By Operator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'Operator Dashboard'!$B$28</c:f>
              <c:strCache>
                <c:ptCount val="1"/>
                <c:pt idx="0">
                  <c:v>Total</c:v>
                </c:pt>
              </c:strCache>
            </c:strRef>
          </c:tx>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circle">
                <a:fillToRect l="50000" t="130000" r="50000" b="-3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'Operator Dashboard'!$A$29:$A$33</c:f>
              <c:strCache>
                <c:ptCount val="5"/>
                <c:pt idx="0">
                  <c:v>K. Fraser</c:v>
                </c:pt>
                <c:pt idx="1">
                  <c:v>M. Chen</c:v>
                </c:pt>
                <c:pt idx="2">
                  <c:v>R. Osei</c:v>
                </c:pt>
                <c:pt idx="3">
                  <c:v>S. Patel</c:v>
                </c:pt>
                <c:pt idx="4">
                  <c:v>T. Dinesh</c:v>
                </c:pt>
              </c:strCache>
            </c:strRef>
          </c:cat>
          <c:val>
            <c:numRef>
              <c:f>'Operator Dashboard'!$B$29:$B$33</c:f>
              <c:numCache>
                <c:formatCode>0.00</c:formatCode>
                <c:ptCount val="5"/>
                <c:pt idx="0">
                  <c:v>2.4455780749728061E-2</c:v>
                </c:pt>
                <c:pt idx="1">
                  <c:v>2.3236490679660736E-2</c:v>
                </c:pt>
                <c:pt idx="2">
                  <c:v>2.1687179514657266E-2</c:v>
                </c:pt>
                <c:pt idx="3">
                  <c:v>2.3510671502836047E-2</c:v>
                </c:pt>
                <c:pt idx="4">
                  <c:v>2.8524074522138881E-2</c:v>
                </c:pt>
              </c:numCache>
            </c:numRef>
          </c:val>
          <c:extLst>
            <c:ext xmlns:c16="http://schemas.microsoft.com/office/drawing/2014/chart" uri="{C3380CC4-5D6E-409C-BE32-E72D297353CC}">
              <c16:uniqueId val="{00000000-E025-4883-BD01-C5D17657D703}"/>
            </c:ext>
          </c:extLst>
        </c:ser>
        <c:dLbls>
          <c:showLegendKey val="0"/>
          <c:showVal val="0"/>
          <c:showCatName val="0"/>
          <c:showSerName val="0"/>
          <c:showPercent val="0"/>
          <c:showBubbleSize val="0"/>
        </c:dLbls>
        <c:gapWidth val="219"/>
        <c:overlap val="-27"/>
        <c:axId val="2145823456"/>
        <c:axId val="2145824896"/>
      </c:barChart>
      <c:catAx>
        <c:axId val="214582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5824896"/>
        <c:crosses val="autoZero"/>
        <c:auto val="1"/>
        <c:lblAlgn val="ctr"/>
        <c:lblOffset val="100"/>
        <c:noMultiLvlLbl val="0"/>
      </c:catAx>
      <c:valAx>
        <c:axId val="2145824896"/>
        <c:scaling>
          <c:orientation val="minMax"/>
        </c:scaling>
        <c:delete val="1"/>
        <c:axPos val="l"/>
        <c:numFmt formatCode="0.00" sourceLinked="1"/>
        <c:majorTickMark val="none"/>
        <c:minorTickMark val="none"/>
        <c:tickLblPos val="nextTo"/>
        <c:crossAx val="2145823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3</xdr:col>
      <xdr:colOff>215900</xdr:colOff>
      <xdr:row>3</xdr:row>
      <xdr:rowOff>19051</xdr:rowOff>
    </xdr:from>
    <xdr:to>
      <xdr:col>4</xdr:col>
      <xdr:colOff>342900</xdr:colOff>
      <xdr:row>12</xdr:row>
      <xdr:rowOff>104776</xdr:rowOff>
    </xdr:to>
    <mc:AlternateContent xmlns:mc="http://schemas.openxmlformats.org/markup-compatibility/2006" xmlns:a14="http://schemas.microsoft.com/office/drawing/2010/main">
      <mc:Choice Requires="a14">
        <xdr:graphicFrame macro="">
          <xdr:nvGraphicFramePr>
            <xdr:cNvPr id="2" name="site_id">
              <a:extLst>
                <a:ext uri="{FF2B5EF4-FFF2-40B4-BE49-F238E27FC236}">
                  <a16:creationId xmlns:a16="http://schemas.microsoft.com/office/drawing/2014/main" id="{8EB53BD8-8247-5389-83BE-B86898B0C2CC}"/>
                </a:ext>
              </a:extLst>
            </xdr:cNvPr>
            <xdr:cNvGraphicFramePr/>
          </xdr:nvGraphicFramePr>
          <xdr:xfrm>
            <a:off x="0" y="0"/>
            <a:ext cx="0" cy="0"/>
          </xdr:xfrm>
          <a:graphic>
            <a:graphicData uri="http://schemas.microsoft.com/office/drawing/2010/slicer">
              <sle:slicer xmlns:sle="http://schemas.microsoft.com/office/drawing/2010/slicer" name="site_id"/>
            </a:graphicData>
          </a:graphic>
        </xdr:graphicFrame>
      </mc:Choice>
      <mc:Fallback xmlns="">
        <xdr:sp macro="" textlink="">
          <xdr:nvSpPr>
            <xdr:cNvPr id="0" name=""/>
            <xdr:cNvSpPr>
              <a:spLocks noTextEdit="1"/>
            </xdr:cNvSpPr>
          </xdr:nvSpPr>
          <xdr:spPr>
            <a:xfrm>
              <a:off x="3371850" y="571501"/>
              <a:ext cx="1828800" cy="173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908050</xdr:colOff>
      <xdr:row>3</xdr:row>
      <xdr:rowOff>19050</xdr:rowOff>
    </xdr:from>
    <xdr:to>
      <xdr:col>19</xdr:col>
      <xdr:colOff>0</xdr:colOff>
      <xdr:row>21</xdr:row>
      <xdr:rowOff>41275</xdr:rowOff>
    </xdr:to>
    <xdr:graphicFrame macro="">
      <xdr:nvGraphicFramePr>
        <xdr:cNvPr id="4" name="Chart 3">
          <a:extLst>
            <a:ext uri="{FF2B5EF4-FFF2-40B4-BE49-F238E27FC236}">
              <a16:creationId xmlns:a16="http://schemas.microsoft.com/office/drawing/2014/main" id="{5CA8C2C4-C98A-8531-23B3-D82465228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901700</xdr:colOff>
      <xdr:row>39</xdr:row>
      <xdr:rowOff>0</xdr:rowOff>
    </xdr:from>
    <xdr:to>
      <xdr:col>11</xdr:col>
      <xdr:colOff>50800</xdr:colOff>
      <xdr:row>53</xdr:row>
      <xdr:rowOff>165100</xdr:rowOff>
    </xdr:to>
    <xdr:graphicFrame macro="">
      <xdr:nvGraphicFramePr>
        <xdr:cNvPr id="7" name="Chart 6">
          <a:extLst>
            <a:ext uri="{FF2B5EF4-FFF2-40B4-BE49-F238E27FC236}">
              <a16:creationId xmlns:a16="http://schemas.microsoft.com/office/drawing/2014/main" id="{B006B20E-C6B3-C70C-4467-377E97F8C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203200</xdr:colOff>
      <xdr:row>13</xdr:row>
      <xdr:rowOff>25400</xdr:rowOff>
    </xdr:from>
    <xdr:to>
      <xdr:col>4</xdr:col>
      <xdr:colOff>333375</xdr:colOff>
      <xdr:row>22</xdr:row>
      <xdr:rowOff>95250</xdr:rowOff>
    </xdr:to>
    <mc:AlternateContent xmlns:mc="http://schemas.openxmlformats.org/markup-compatibility/2006" xmlns:a14="http://schemas.microsoft.com/office/drawing/2010/main">
      <mc:Choice Requires="a14">
        <xdr:graphicFrame macro="">
          <xdr:nvGraphicFramePr>
            <xdr:cNvPr id="9" name="spirit_type">
              <a:extLst>
                <a:ext uri="{FF2B5EF4-FFF2-40B4-BE49-F238E27FC236}">
                  <a16:creationId xmlns:a16="http://schemas.microsoft.com/office/drawing/2014/main" id="{33B5FD56-5DDF-03FB-7B11-8E5ADB2298A5}"/>
                </a:ext>
              </a:extLst>
            </xdr:cNvPr>
            <xdr:cNvGraphicFramePr/>
          </xdr:nvGraphicFramePr>
          <xdr:xfrm>
            <a:off x="0" y="0"/>
            <a:ext cx="0" cy="0"/>
          </xdr:xfrm>
          <a:graphic>
            <a:graphicData uri="http://schemas.microsoft.com/office/drawing/2010/slicer">
              <sle:slicer xmlns:sle="http://schemas.microsoft.com/office/drawing/2010/slicer" name="spirit_type"/>
            </a:graphicData>
          </a:graphic>
        </xdr:graphicFrame>
      </mc:Choice>
      <mc:Fallback xmlns="">
        <xdr:sp macro="" textlink="">
          <xdr:nvSpPr>
            <xdr:cNvPr id="0" name=""/>
            <xdr:cNvSpPr>
              <a:spLocks noTextEdit="1"/>
            </xdr:cNvSpPr>
          </xdr:nvSpPr>
          <xdr:spPr>
            <a:xfrm>
              <a:off x="3657600" y="2419350"/>
              <a:ext cx="1828800" cy="172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901700</xdr:colOff>
      <xdr:row>22</xdr:row>
      <xdr:rowOff>0</xdr:rowOff>
    </xdr:from>
    <xdr:to>
      <xdr:col>13</xdr:col>
      <xdr:colOff>31750</xdr:colOff>
      <xdr:row>38</xdr:row>
      <xdr:rowOff>15876</xdr:rowOff>
    </xdr:to>
    <xdr:graphicFrame macro="">
      <xdr:nvGraphicFramePr>
        <xdr:cNvPr id="5" name="Chart 4">
          <a:extLst>
            <a:ext uri="{FF2B5EF4-FFF2-40B4-BE49-F238E27FC236}">
              <a16:creationId xmlns:a16="http://schemas.microsoft.com/office/drawing/2014/main" id="{02674CA0-1B30-2AC1-65EE-4EC9A4794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304800</xdr:colOff>
      <xdr:row>22</xdr:row>
      <xdr:rowOff>0</xdr:rowOff>
    </xdr:from>
    <xdr:to>
      <xdr:col>19</xdr:col>
      <xdr:colOff>0</xdr:colOff>
      <xdr:row>38</xdr:row>
      <xdr:rowOff>0</xdr:rowOff>
    </xdr:to>
    <xdr:graphicFrame macro="">
      <xdr:nvGraphicFramePr>
        <xdr:cNvPr id="10" name="Chart 9">
          <a:extLst>
            <a:ext uri="{FF2B5EF4-FFF2-40B4-BE49-F238E27FC236}">
              <a16:creationId xmlns:a16="http://schemas.microsoft.com/office/drawing/2014/main" id="{72C6EC55-4B6F-EF46-A60A-9B239FEE94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304800</xdr:colOff>
      <xdr:row>39</xdr:row>
      <xdr:rowOff>0</xdr:rowOff>
    </xdr:from>
    <xdr:to>
      <xdr:col>19</xdr:col>
      <xdr:colOff>0</xdr:colOff>
      <xdr:row>53</xdr:row>
      <xdr:rowOff>165100</xdr:rowOff>
    </xdr:to>
    <xdr:graphicFrame macro="">
      <xdr:nvGraphicFramePr>
        <xdr:cNvPr id="3" name="Chart 2">
          <a:extLst>
            <a:ext uri="{FF2B5EF4-FFF2-40B4-BE49-F238E27FC236}">
              <a16:creationId xmlns:a16="http://schemas.microsoft.com/office/drawing/2014/main" id="{D2E78BC7-30DE-643E-95ED-213881061E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577850</xdr:colOff>
      <xdr:row>34</xdr:row>
      <xdr:rowOff>120650</xdr:rowOff>
    </xdr:from>
    <xdr:to>
      <xdr:col>4</xdr:col>
      <xdr:colOff>704850</xdr:colOff>
      <xdr:row>44</xdr:row>
      <xdr:rowOff>19050</xdr:rowOff>
    </xdr:to>
    <mc:AlternateContent xmlns:mc="http://schemas.openxmlformats.org/markup-compatibility/2006" xmlns:a14="http://schemas.microsoft.com/office/drawing/2010/main">
      <mc:Choice Requires="a14">
        <xdr:graphicFrame macro="">
          <xdr:nvGraphicFramePr>
            <xdr:cNvPr id="6" name="site_id 1">
              <a:extLst>
                <a:ext uri="{FF2B5EF4-FFF2-40B4-BE49-F238E27FC236}">
                  <a16:creationId xmlns:a16="http://schemas.microsoft.com/office/drawing/2014/main" id="{133D0E7C-5024-4BBC-A776-79E6CC5A8F01}"/>
                </a:ext>
              </a:extLst>
            </xdr:cNvPr>
            <xdr:cNvGraphicFramePr/>
          </xdr:nvGraphicFramePr>
          <xdr:xfrm>
            <a:off x="0" y="0"/>
            <a:ext cx="0" cy="0"/>
          </xdr:xfrm>
          <a:graphic>
            <a:graphicData uri="http://schemas.microsoft.com/office/drawing/2010/slicer">
              <sle:slicer xmlns:sle="http://schemas.microsoft.com/office/drawing/2010/slicer" name="site_id 1"/>
            </a:graphicData>
          </a:graphic>
        </xdr:graphicFrame>
      </mc:Choice>
      <mc:Fallback xmlns="">
        <xdr:sp macro="" textlink="">
          <xdr:nvSpPr>
            <xdr:cNvPr id="0" name=""/>
            <xdr:cNvSpPr>
              <a:spLocks noTextEdit="1"/>
            </xdr:cNvSpPr>
          </xdr:nvSpPr>
          <xdr:spPr>
            <a:xfrm>
              <a:off x="5003800" y="6381750"/>
              <a:ext cx="1828800" cy="1739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577850</xdr:colOff>
      <xdr:row>44</xdr:row>
      <xdr:rowOff>95250</xdr:rowOff>
    </xdr:from>
    <xdr:to>
      <xdr:col>4</xdr:col>
      <xdr:colOff>704850</xdr:colOff>
      <xdr:row>53</xdr:row>
      <xdr:rowOff>161925</xdr:rowOff>
    </xdr:to>
    <mc:AlternateContent xmlns:mc="http://schemas.openxmlformats.org/markup-compatibility/2006" xmlns:a14="http://schemas.microsoft.com/office/drawing/2010/main">
      <mc:Choice Requires="a14">
        <xdr:graphicFrame macro="">
          <xdr:nvGraphicFramePr>
            <xdr:cNvPr id="8" name="spirit_type 1">
              <a:extLst>
                <a:ext uri="{FF2B5EF4-FFF2-40B4-BE49-F238E27FC236}">
                  <a16:creationId xmlns:a16="http://schemas.microsoft.com/office/drawing/2014/main" id="{039190DA-1356-480A-9C7F-2627E93D53F0}"/>
                </a:ext>
              </a:extLst>
            </xdr:cNvPr>
            <xdr:cNvGraphicFramePr/>
          </xdr:nvGraphicFramePr>
          <xdr:xfrm>
            <a:off x="0" y="0"/>
            <a:ext cx="0" cy="0"/>
          </xdr:xfrm>
          <a:graphic>
            <a:graphicData uri="http://schemas.microsoft.com/office/drawing/2010/slicer">
              <sle:slicer xmlns:sle="http://schemas.microsoft.com/office/drawing/2010/slicer" name="spirit_type 1"/>
            </a:graphicData>
          </a:graphic>
        </xdr:graphicFrame>
      </mc:Choice>
      <mc:Fallback xmlns="">
        <xdr:sp macro="" textlink="">
          <xdr:nvSpPr>
            <xdr:cNvPr id="0" name=""/>
            <xdr:cNvSpPr>
              <a:spLocks noTextEdit="1"/>
            </xdr:cNvSpPr>
          </xdr:nvSpPr>
          <xdr:spPr>
            <a:xfrm>
              <a:off x="5003800" y="8197850"/>
              <a:ext cx="1828800" cy="1727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587375</xdr:colOff>
      <xdr:row>5</xdr:row>
      <xdr:rowOff>87313</xdr:rowOff>
    </xdr:from>
    <xdr:to>
      <xdr:col>15</xdr:col>
      <xdr:colOff>282575</xdr:colOff>
      <xdr:row>21</xdr:row>
      <xdr:rowOff>0</xdr:rowOff>
    </xdr:to>
    <xdr:graphicFrame macro="">
      <xdr:nvGraphicFramePr>
        <xdr:cNvPr id="2" name="Chart 1">
          <a:extLst>
            <a:ext uri="{FF2B5EF4-FFF2-40B4-BE49-F238E27FC236}">
              <a16:creationId xmlns:a16="http://schemas.microsoft.com/office/drawing/2014/main" id="{8D5B273B-47D1-83B5-F40E-C41CF7F2A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20</xdr:row>
      <xdr:rowOff>180974</xdr:rowOff>
    </xdr:from>
    <xdr:to>
      <xdr:col>7</xdr:col>
      <xdr:colOff>587375</xdr:colOff>
      <xdr:row>36</xdr:row>
      <xdr:rowOff>76199</xdr:rowOff>
    </xdr:to>
    <xdr:graphicFrame macro="">
      <xdr:nvGraphicFramePr>
        <xdr:cNvPr id="4" name="Chart 3">
          <a:extLst>
            <a:ext uri="{FF2B5EF4-FFF2-40B4-BE49-F238E27FC236}">
              <a16:creationId xmlns:a16="http://schemas.microsoft.com/office/drawing/2014/main" id="{32A1AB90-5352-68B8-61EB-8E880FCD67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587375</xdr:colOff>
      <xdr:row>21</xdr:row>
      <xdr:rowOff>1587</xdr:rowOff>
    </xdr:from>
    <xdr:to>
      <xdr:col>15</xdr:col>
      <xdr:colOff>282575</xdr:colOff>
      <xdr:row>36</xdr:row>
      <xdr:rowOff>76200</xdr:rowOff>
    </xdr:to>
    <xdr:graphicFrame macro="">
      <xdr:nvGraphicFramePr>
        <xdr:cNvPr id="6" name="Chart 5">
          <a:extLst>
            <a:ext uri="{FF2B5EF4-FFF2-40B4-BE49-F238E27FC236}">
              <a16:creationId xmlns:a16="http://schemas.microsoft.com/office/drawing/2014/main" id="{2ECEF98A-43B0-958B-C266-E9D0178CE5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xdr:colOff>
      <xdr:row>5</xdr:row>
      <xdr:rowOff>84139</xdr:rowOff>
    </xdr:from>
    <xdr:to>
      <xdr:col>5</xdr:col>
      <xdr:colOff>0</xdr:colOff>
      <xdr:row>21</xdr:row>
      <xdr:rowOff>3174</xdr:rowOff>
    </xdr:to>
    <mc:AlternateContent xmlns:mc="http://schemas.openxmlformats.org/markup-compatibility/2006">
      <mc:Choice xmlns:a14="http://schemas.microsoft.com/office/drawing/2010/main" Requires="a14">
        <xdr:graphicFrame macro="">
          <xdr:nvGraphicFramePr>
            <xdr:cNvPr id="9" name="spirit_type 2">
              <a:extLst>
                <a:ext uri="{FF2B5EF4-FFF2-40B4-BE49-F238E27FC236}">
                  <a16:creationId xmlns:a16="http://schemas.microsoft.com/office/drawing/2014/main" id="{ED06DCEC-CE11-6967-9AEB-51DB62A6A421}"/>
                </a:ext>
              </a:extLst>
            </xdr:cNvPr>
            <xdr:cNvGraphicFramePr/>
          </xdr:nvGraphicFramePr>
          <xdr:xfrm>
            <a:off x="0" y="0"/>
            <a:ext cx="0" cy="0"/>
          </xdr:xfrm>
          <a:graphic>
            <a:graphicData uri="http://schemas.microsoft.com/office/drawing/2010/slicer">
              <sle:slicer xmlns:sle="http://schemas.microsoft.com/office/drawing/2010/slicer" name="spirit_type 2"/>
            </a:graphicData>
          </a:graphic>
        </xdr:graphicFrame>
      </mc:Choice>
      <mc:Fallback>
        <xdr:sp macro="" textlink="">
          <xdr:nvSpPr>
            <xdr:cNvPr id="0" name=""/>
            <xdr:cNvSpPr>
              <a:spLocks noTextEdit="1"/>
            </xdr:cNvSpPr>
          </xdr:nvSpPr>
          <xdr:spPr>
            <a:xfrm>
              <a:off x="1533526" y="992189"/>
              <a:ext cx="2381249" cy="2811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xdr:colOff>
      <xdr:row>5</xdr:row>
      <xdr:rowOff>87313</xdr:rowOff>
    </xdr:from>
    <xdr:to>
      <xdr:col>7</xdr:col>
      <xdr:colOff>587376</xdr:colOff>
      <xdr:row>21</xdr:row>
      <xdr:rowOff>0</xdr:rowOff>
    </xdr:to>
    <xdr:graphicFrame macro="">
      <xdr:nvGraphicFramePr>
        <xdr:cNvPr id="11" name="Chart 10">
          <a:extLst>
            <a:ext uri="{FF2B5EF4-FFF2-40B4-BE49-F238E27FC236}">
              <a16:creationId xmlns:a16="http://schemas.microsoft.com/office/drawing/2014/main" id="{BC326070-C56C-D2C5-C895-9C29C2F643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7.905917476855" createdVersion="8" refreshedVersion="8" minRefreshableVersion="3" recordCount="200" xr:uid="{6B6E6F31-5479-49FC-8C77-EE5EAC2FA5E9}">
  <cacheSource type="worksheet">
    <worksheetSource ref="A1:Y201" sheet="Batch_Production"/>
  </cacheSource>
  <cacheFields count="29">
    <cacheField name="batch_id" numFmtId="0">
      <sharedItems/>
    </cacheField>
    <cacheField name="batch_date" numFmtId="14">
      <sharedItems containsSemiMixedTypes="0" containsNonDate="0" containsDate="1" containsString="0" minDate="2023-01-01T00:00:00" maxDate="2024-01-01T00:00:00" count="157">
        <d v="2023-01-01T00:00:00"/>
        <d v="2023-01-02T00:00:00"/>
        <d v="2023-01-03T00:00:00"/>
        <d v="2023-01-06T00:00:00"/>
        <d v="2023-01-08T00:00:00"/>
        <d v="2023-01-10T00:00:00"/>
        <d v="2023-01-11T00:00:00"/>
        <d v="2023-01-19T00:00:00"/>
        <d v="2023-01-25T00:00:00"/>
        <d v="2023-01-27T00:00:00"/>
        <d v="2023-01-30T00:00:00"/>
        <d v="2023-01-31T00:00:00"/>
        <d v="2023-02-01T00:00:00"/>
        <d v="2023-02-03T00:00:00"/>
        <d v="2023-02-04T00:00:00"/>
        <d v="2023-02-05T00:00:00"/>
        <d v="2023-02-06T00:00:00"/>
        <d v="2023-02-07T00:00:00"/>
        <d v="2023-02-08T00:00:00"/>
        <d v="2023-02-10T00:00:00"/>
        <d v="2023-02-11T00:00:00"/>
        <d v="2023-02-13T00:00:00"/>
        <d v="2023-02-15T00:00:00"/>
        <d v="2023-02-16T00:00:00"/>
        <d v="2023-02-18T00:00:00"/>
        <d v="2023-02-19T00:00:00"/>
        <d v="2023-02-20T00:00:00"/>
        <d v="2023-02-24T00:00:00"/>
        <d v="2023-02-26T00:00:00"/>
        <d v="2023-02-27T00:00:00"/>
        <d v="2023-03-01T00:00:00"/>
        <d v="2023-03-02T00:00:00"/>
        <d v="2023-03-05T00:00:00"/>
        <d v="2023-03-06T00:00:00"/>
        <d v="2023-03-07T00:00:00"/>
        <d v="2023-03-10T00:00:00"/>
        <d v="2023-03-11T00:00:00"/>
        <d v="2023-03-12T00:00:00"/>
        <d v="2023-03-13T00:00:00"/>
        <d v="2023-03-15T00:00:00"/>
        <d v="2023-03-16T00:00:00"/>
        <d v="2023-03-17T00:00:00"/>
        <d v="2023-03-18T00:00:00"/>
        <d v="2023-03-24T00:00:00"/>
        <d v="2023-03-26T00:00:00"/>
        <d v="2023-03-27T00:00:00"/>
        <d v="2023-03-28T00:00:00"/>
        <d v="2023-03-29T00:00:00"/>
        <d v="2023-03-31T00:00:00"/>
        <d v="2023-04-04T00:00:00"/>
        <d v="2023-04-05T00:00:00"/>
        <d v="2023-04-07T00:00:00"/>
        <d v="2023-04-10T00:00:00"/>
        <d v="2023-04-14T00:00:00"/>
        <d v="2023-04-15T00:00:00"/>
        <d v="2023-04-16T00:00:00"/>
        <d v="2023-04-17T00:00:00"/>
        <d v="2023-04-18T00:00:00"/>
        <d v="2023-04-20T00:00:00"/>
        <d v="2023-04-21T00:00:00"/>
        <d v="2023-04-22T00:00:00"/>
        <d v="2023-04-23T00:00:00"/>
        <d v="2023-04-25T00:00:00"/>
        <d v="2023-04-28T00:00:00"/>
        <d v="2023-05-01T00:00:00"/>
        <d v="2023-05-03T00:00:00"/>
        <d v="2023-05-05T00:00:00"/>
        <d v="2023-05-08T00:00:00"/>
        <d v="2023-05-10T00:00:00"/>
        <d v="2023-05-16T00:00:00"/>
        <d v="2023-05-19T00:00:00"/>
        <d v="2023-05-21T00:00:00"/>
        <d v="2023-05-22T00:00:00"/>
        <d v="2023-05-23T00:00:00"/>
        <d v="2023-05-25T00:00:00"/>
        <d v="2023-05-26T00:00:00"/>
        <d v="2023-06-01T00:00:00"/>
        <d v="2023-06-02T00:00:00"/>
        <d v="2023-06-03T00:00:00"/>
        <d v="2023-06-04T00:00:00"/>
        <d v="2023-06-11T00:00:00"/>
        <d v="2023-06-12T00:00:00"/>
        <d v="2023-06-14T00:00:00"/>
        <d v="2023-06-17T00:00:00"/>
        <d v="2023-06-20T00:00:00"/>
        <d v="2023-06-23T00:00:00"/>
        <d v="2023-06-24T00:00:00"/>
        <d v="2023-06-26T00:00:00"/>
        <d v="2023-06-30T00:00:00"/>
        <d v="2023-07-01T00:00:00"/>
        <d v="2023-07-05T00:00:00"/>
        <d v="2023-07-07T00:00:00"/>
        <d v="2023-07-08T00:00:00"/>
        <d v="2023-07-10T00:00:00"/>
        <d v="2023-07-11T00:00:00"/>
        <d v="2023-07-13T00:00:00"/>
        <d v="2023-07-14T00:00:00"/>
        <d v="2023-07-25T00:00:00"/>
        <d v="2023-07-26T00:00:00"/>
        <d v="2023-07-29T00:00:00"/>
        <d v="2023-07-30T00:00:00"/>
        <d v="2023-08-05T00:00:00"/>
        <d v="2023-08-06T00:00:00"/>
        <d v="2023-08-08T00:00:00"/>
        <d v="2023-08-16T00:00:00"/>
        <d v="2023-08-20T00:00:00"/>
        <d v="2023-08-22T00:00:00"/>
        <d v="2023-08-25T00:00:00"/>
        <d v="2023-08-28T00:00:00"/>
        <d v="2023-09-04T00:00:00"/>
        <d v="2023-09-08T00:00:00"/>
        <d v="2023-09-09T00:00:00"/>
        <d v="2023-09-10T00:00:00"/>
        <d v="2023-09-11T00:00:00"/>
        <d v="2023-09-16T00:00:00"/>
        <d v="2023-09-19T00:00:00"/>
        <d v="2023-09-22T00:00:00"/>
        <d v="2023-09-25T00:00:00"/>
        <d v="2023-10-01T00:00:00"/>
        <d v="2023-10-03T00:00:00"/>
        <d v="2023-10-04T00:00:00"/>
        <d v="2023-10-08T00:00:00"/>
        <d v="2023-10-11T00:00:00"/>
        <d v="2023-10-13T00:00:00"/>
        <d v="2023-10-14T00:00:00"/>
        <d v="2023-10-16T00:00:00"/>
        <d v="2023-10-17T00:00:00"/>
        <d v="2023-10-18T00:00:00"/>
        <d v="2023-10-22T00:00:00"/>
        <d v="2023-10-23T00:00:00"/>
        <d v="2023-10-24T00:00:00"/>
        <d v="2023-10-25T00:00:00"/>
        <d v="2023-10-27T00:00:00"/>
        <d v="2023-11-03T00:00:00"/>
        <d v="2023-11-08T00:00:00"/>
        <d v="2023-11-11T00:00:00"/>
        <d v="2023-11-14T00:00:00"/>
        <d v="2023-11-16T00:00:00"/>
        <d v="2023-11-20T00:00:00"/>
        <d v="2023-11-21T00:00:00"/>
        <d v="2023-11-22T00:00:00"/>
        <d v="2023-11-24T00:00:00"/>
        <d v="2023-11-28T00:00:00"/>
        <d v="2023-12-03T00:00:00"/>
        <d v="2023-12-07T00:00:00"/>
        <d v="2023-12-08T00:00:00"/>
        <d v="2023-12-09T00:00:00"/>
        <d v="2023-12-12T00:00:00"/>
        <d v="2023-12-18T00:00:00"/>
        <d v="2023-12-21T00:00:00"/>
        <d v="2023-12-22T00:00:00"/>
        <d v="2023-12-23T00:00:00"/>
        <d v="2023-12-24T00:00:00"/>
        <d v="2023-12-26T00:00:00"/>
        <d v="2023-12-27T00:00:00"/>
        <d v="2023-12-30T00:00:00"/>
        <d v="2023-12-31T00:00:00"/>
      </sharedItems>
      <fieldGroup par="26"/>
    </cacheField>
    <cacheField name="site_id" numFmtId="0">
      <sharedItems count="5">
        <s v="SITE-01"/>
        <s v="SITE-03"/>
        <s v="SITE-05"/>
        <s v="SITE-04"/>
        <s v="SITE-02"/>
      </sharedItems>
    </cacheField>
    <cacheField name="spirit_type" numFmtId="0">
      <sharedItems count="5">
        <s v="Single Malt Whisky"/>
        <s v="White Rum"/>
        <s v="Vodka"/>
        <s v="Rye Whisky"/>
        <s v="Gin"/>
      </sharedItems>
    </cacheField>
    <cacheField name="unit_operation" numFmtId="0">
      <sharedItems/>
    </cacheField>
    <cacheField name="operator_id" numFmtId="0">
      <sharedItems/>
    </cacheField>
    <cacheField name="Operator_Name" numFmtId="0">
      <sharedItems count="5">
        <s v="M. Chen"/>
        <s v="S. Patel"/>
        <s v="K. Fraser"/>
        <s v="T. Dinesh"/>
        <s v="R. Osei"/>
      </sharedItems>
    </cacheField>
    <cacheField name="shift" numFmtId="0">
      <sharedItems/>
    </cacheField>
    <cacheField name="grain_input_kg" numFmtId="165">
      <sharedItems containsSemiMixedTypes="0" containsString="0" containsNumber="1" minValue="401" maxValue="1199.4000000000001"/>
    </cacheField>
    <cacheField name="water_input_L" numFmtId="165">
      <sharedItems containsSemiMixedTypes="0" containsString="0" containsNumber="1" minValue="1652.5" maxValue="6461.7"/>
    </cacheField>
    <cacheField name="scheduled_output_L" numFmtId="165">
      <sharedItems containsSemiMixedTypes="0" containsString="0" containsNumber="1" minValue="259.8" maxValue="858.6"/>
    </cacheField>
    <cacheField name="actual_output_L" numFmtId="165">
      <sharedItems containsSemiMixedTypes="0" containsString="0" containsNumber="1" minValue="257.3" maxValue="855.6"/>
    </cacheField>
    <cacheField name="variance_L" numFmtId="2">
      <sharedItems containsSemiMixedTypes="0" containsString="0" containsNumber="1" minValue="-80.3" maxValue="52.9"/>
    </cacheField>
    <cacheField name="variance_pct" numFmtId="10">
      <sharedItems containsSemiMixedTypes="0" containsString="0" containsNumber="1" minValue="-0.1351" maxValue="7.8600000000000003E-2"/>
    </cacheField>
    <cacheField name="still_run_hrs" numFmtId="168">
      <sharedItems containsSemiMixedTypes="0" containsString="0" containsNumber="1" minValue="4" maxValue="17.899999999999999"/>
    </cacheField>
    <cacheField name="energy_consumed_GJ" numFmtId="2">
      <sharedItems containsSemiMixedTypes="0" containsString="0" containsNumber="1" minValue="3.8" maxValue="24.61"/>
    </cacheField>
    <cacheField name="abv_target_pct" numFmtId="168">
      <sharedItems containsSemiMixedTypes="0" containsString="0" containsNumber="1" minValue="60" maxValue="70"/>
    </cacheField>
    <cacheField name="abv_actual_pct" numFmtId="168">
      <sharedItems containsSemiMixedTypes="0" containsString="0" containsNumber="1" minValue="57.7" maxValue="72"/>
    </cacheField>
    <cacheField name="downtime_hrs" numFmtId="168">
      <sharedItems containsSemiMixedTypes="0" containsString="0" containsNumber="1" minValue="0" maxValue="5"/>
    </cacheField>
    <cacheField name="downtime_reason" numFmtId="0">
      <sharedItems containsBlank="1" count="7">
        <m/>
        <s v="Cooling water interruption"/>
        <s v="Yeast propagation delay"/>
        <s v="Still head gasket failure"/>
        <s v="Power fluctuation"/>
        <s v="Scheduled CIP cleaning"/>
        <s v="Instrument calibration"/>
      </sharedItems>
    </cacheField>
    <cacheField name="QC_Final" numFmtId="0">
      <sharedItems containsSemiMixedTypes="0" containsString="0" containsNumber="1" containsInteger="1" minValue="0" maxValue="1"/>
    </cacheField>
    <cacheField name="qc_status" numFmtId="0">
      <sharedItems/>
    </cacheField>
    <cacheField name="QC %" numFmtId="0">
      <sharedItems containsNonDate="0" containsString="0" containsBlank="1"/>
    </cacheField>
    <cacheField name="erp_batch_ref" numFmtId="0">
      <sharedItems/>
    </cacheField>
    <cacheField name="notes" numFmtId="0">
      <sharedItems containsBlank="1"/>
    </cacheField>
    <cacheField name="Days (batch_date)" numFmtId="0" databaseField="0">
      <fieldGroup base="1">
        <rangePr groupBy="days" startDate="2023-01-01T00:00:00" endDate="2024-01-01T00:00:00"/>
        <groupItems count="368">
          <s v="&lt;2023-01-0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4-01-01"/>
        </groupItems>
      </fieldGroup>
    </cacheField>
    <cacheField name="Months (batch_date)" numFmtId="0" databaseField="0">
      <fieldGroup base="1">
        <rangePr groupBy="months" startDate="2023-01-01T00:00:00" endDate="2024-01-01T00:00:00"/>
        <groupItems count="14">
          <s v="&lt;2023-01-01"/>
          <s v="Jan"/>
          <s v="Feb"/>
          <s v="Mar"/>
          <s v="Apr"/>
          <s v="May"/>
          <s v="Jun"/>
          <s v="Jul"/>
          <s v="Aug"/>
          <s v="Sep"/>
          <s v="Oct"/>
          <s v="Nov"/>
          <s v="Dec"/>
          <s v="&gt;2024-01-01"/>
        </groupItems>
      </fieldGroup>
    </cacheField>
    <cacheField name="QC Pass %" numFmtId="0" formula="QC_Final/ COUNT(batch_id)" databaseField="0"/>
    <cacheField name="Energy Efficiency" numFmtId="0" formula="energy_consumed_GJ/actual_output_L" databaseField="0"/>
  </cacheFields>
  <extLst>
    <ext xmlns:x14="http://schemas.microsoft.com/office/spreadsheetml/2009/9/main" uri="{725AE2AE-9491-48be-B2B4-4EB974FC3084}">
      <x14:pivotCacheDefinition pivotCacheId="4732707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17.915120254627" createdVersion="8" refreshedVersion="8" minRefreshableVersion="3" recordCount="240" xr:uid="{CB99FDDC-0791-47AF-B90B-0419742CF9C7}">
  <cacheSource type="worksheet">
    <worksheetSource name="Merge1"/>
  </cacheSource>
  <cacheFields count="28">
    <cacheField name="batch_id" numFmtId="0">
      <sharedItems/>
    </cacheField>
    <cacheField name="batch_date" numFmtId="0">
      <sharedItems containsSemiMixedTypes="0" containsString="0" containsNumber="1" containsInteger="1" minValue="44927" maxValue="45291"/>
    </cacheField>
    <cacheField name="site_id" numFmtId="0">
      <sharedItems/>
    </cacheField>
    <cacheField name="Sites6.site_name" numFmtId="0">
      <sharedItems/>
    </cacheField>
    <cacheField name="Sites6.region" numFmtId="0">
      <sharedItems/>
    </cacheField>
    <cacheField name="spirit_type" numFmtId="0">
      <sharedItems count="5">
        <s v="Single Malt Whisky"/>
        <s v="White Rum"/>
        <s v="Vodka"/>
        <s v="Rye Whisky"/>
        <s v="Gin"/>
      </sharedItems>
    </cacheField>
    <cacheField name="unit_operation" numFmtId="0">
      <sharedItems/>
    </cacheField>
    <cacheField name="operator_id" numFmtId="0">
      <sharedItems/>
    </cacheField>
    <cacheField name="Operators.operator_name" numFmtId="0">
      <sharedItems count="5">
        <s v="M. Chen"/>
        <s v="K. Fraser"/>
        <s v="S. Patel"/>
        <s v="T. Dinesh"/>
        <s v="R. Osei"/>
      </sharedItems>
    </cacheField>
    <cacheField name="shift" numFmtId="0">
      <sharedItems/>
    </cacheField>
    <cacheField name="grain_input_kg" numFmtId="0">
      <sharedItems containsSemiMixedTypes="0" containsString="0" containsNumber="1" minValue="401" maxValue="1199.4000000000001"/>
    </cacheField>
    <cacheField name="water_input_L" numFmtId="0">
      <sharedItems containsSemiMixedTypes="0" containsString="0" containsNumber="1" minValue="1652.5" maxValue="6461.7"/>
    </cacheField>
    <cacheField name="scheduled_output_L" numFmtId="0">
      <sharedItems containsSemiMixedTypes="0" containsString="0" containsNumber="1" minValue="259.8" maxValue="858.6"/>
    </cacheField>
    <cacheField name="actual_output_L" numFmtId="0">
      <sharedItems containsSemiMixedTypes="0" containsString="0" containsNumber="1" minValue="257.3" maxValue="855.6"/>
    </cacheField>
    <cacheField name="variance_L" numFmtId="0">
      <sharedItems containsSemiMixedTypes="0" containsString="0" containsNumber="1" minValue="-80.3" maxValue="52.9"/>
    </cacheField>
    <cacheField name="variance_pct" numFmtId="0">
      <sharedItems containsSemiMixedTypes="0" containsString="0" containsNumber="1" minValue="-0.1351" maxValue="7.8600000000000003E-2"/>
    </cacheField>
    <cacheField name="still_run_hrs" numFmtId="0">
      <sharedItems containsSemiMixedTypes="0" containsString="0" containsNumber="1" minValue="4" maxValue="17.899999999999999"/>
    </cacheField>
    <cacheField name="energy_consumed_GJ" numFmtId="0">
      <sharedItems containsSemiMixedTypes="0" containsString="0" containsNumber="1" minValue="3.8" maxValue="24.61"/>
    </cacheField>
    <cacheField name="abv_target_pct" numFmtId="0">
      <sharedItems containsSemiMixedTypes="0" containsString="0" containsNumber="1" minValue="60" maxValue="70"/>
    </cacheField>
    <cacheField name="abv_actual_pct" numFmtId="0">
      <sharedItems containsSemiMixedTypes="0" containsString="0" containsNumber="1" minValue="57.7" maxValue="72"/>
    </cacheField>
    <cacheField name="downtime_hrs" numFmtId="0">
      <sharedItems containsSemiMixedTypes="0" containsString="0" containsNumber="1" minValue="0" maxValue="5"/>
    </cacheField>
    <cacheField name="downtime_reason" numFmtId="0">
      <sharedItems containsBlank="1"/>
    </cacheField>
    <cacheField name="qc_status" numFmtId="0">
      <sharedItems/>
    </cacheField>
    <cacheField name="QC Status Count" numFmtId="0">
      <sharedItems containsSemiMixedTypes="0" containsString="0" containsNumber="1" containsInteger="1" minValue="0" maxValue="1"/>
    </cacheField>
    <cacheField name="erp_batch_ref" numFmtId="0">
      <sharedItems/>
    </cacheField>
    <cacheField name="notes" numFmtId="0">
      <sharedItems containsBlank="1"/>
    </cacheField>
    <cacheField name="Downtime %" numFmtId="0" formula="downtime_hrs /(still_run_hrs +downtime_hrs )" databaseField="0"/>
    <cacheField name="Energy Efficiency" numFmtId="0" formula="energy_consumed_GJ /actual_output_L" databaseField="0"/>
  </cacheFields>
  <extLst>
    <ext xmlns:x14="http://schemas.microsoft.com/office/spreadsheetml/2009/9/main" uri="{725AE2AE-9491-48be-B2B4-4EB974FC3084}">
      <x14:pivotCacheDefinition pivotCacheId="10450704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BTH-2023-0001"/>
    <x v="0"/>
    <x v="0"/>
    <x v="0"/>
    <s v="Blending"/>
    <s v="OP-05"/>
    <x v="0"/>
    <s v="Day"/>
    <n v="1133.7"/>
    <n v="5470.7"/>
    <n v="658.7"/>
    <n v="677.4"/>
    <n v="18.7"/>
    <n v="2.8400000000000002E-2"/>
    <n v="15.5"/>
    <n v="19.05"/>
    <n v="62.5"/>
    <n v="62.2"/>
    <n v="2"/>
    <x v="0"/>
    <n v="1"/>
    <s v="PASS"/>
    <m/>
    <s v="ERP-2023-0087"/>
    <m/>
  </r>
  <r>
    <s v="BTH-2023-0002"/>
    <x v="1"/>
    <x v="1"/>
    <x v="0"/>
    <s v="Maturation"/>
    <s v="OP-04"/>
    <x v="1"/>
    <s v="Night"/>
    <n v="968.1"/>
    <n v="3761.3"/>
    <n v="569.29999999999995"/>
    <n v="579"/>
    <n v="9.6999999999999993"/>
    <n v="1.7000000000000001E-2"/>
    <n v="12.1"/>
    <n v="16.2"/>
    <n v="62.3"/>
    <n v="63.9"/>
    <n v="0"/>
    <x v="0"/>
    <n v="1"/>
    <s v="PASS"/>
    <m/>
    <s v="ERP-2023-0086"/>
    <m/>
  </r>
  <r>
    <s v="BTH-2023-0003"/>
    <x v="1"/>
    <x v="1"/>
    <x v="1"/>
    <s v="Maturation"/>
    <s v="OP-05"/>
    <x v="0"/>
    <s v="Day"/>
    <n v="651.29999999999995"/>
    <n v="3235.9"/>
    <n v="366.1"/>
    <n v="368.7"/>
    <n v="2.6"/>
    <n v="7.1000000000000004E-3"/>
    <n v="8.1"/>
    <n v="8.1"/>
    <n v="61.5"/>
    <n v="61.6"/>
    <n v="3"/>
    <x v="0"/>
    <n v="0"/>
    <s v="FAIL"/>
    <m/>
    <s v="ERP-2023-0160"/>
    <s v="Extended downtime — operations manager notified"/>
  </r>
  <r>
    <s v="BTH-2023-0004"/>
    <x v="2"/>
    <x v="2"/>
    <x v="0"/>
    <s v="Fermentation"/>
    <s v="OP-02"/>
    <x v="2"/>
    <s v="Day"/>
    <n v="903.4"/>
    <n v="3272.6"/>
    <n v="632"/>
    <n v="618.20000000000005"/>
    <n v="-13.8"/>
    <n v="-2.18E-2"/>
    <n v="6.1"/>
    <n v="8.2899999999999991"/>
    <n v="60.4"/>
    <n v="59.9"/>
    <n v="0.5"/>
    <x v="1"/>
    <n v="1"/>
    <s v="PASS"/>
    <m/>
    <s v="ERP-2023-0022"/>
    <m/>
  </r>
  <r>
    <s v="BTH-2023-0005"/>
    <x v="3"/>
    <x v="2"/>
    <x v="0"/>
    <s v="Distillation"/>
    <s v="OP-02"/>
    <x v="2"/>
    <s v="Night"/>
    <n v="719.3"/>
    <n v="3700.6"/>
    <n v="444.5"/>
    <n v="443.9"/>
    <n v="-0.6"/>
    <n v="-1.2999999999999999E-3"/>
    <n v="5.3"/>
    <n v="7.04"/>
    <n v="69.2"/>
    <n v="70.3"/>
    <n v="0"/>
    <x v="0"/>
    <n v="1"/>
    <s v="PASS"/>
    <m/>
    <s v="ERP-2023-0007"/>
    <m/>
  </r>
  <r>
    <s v="BTH-2023-0006"/>
    <x v="3"/>
    <x v="3"/>
    <x v="0"/>
    <s v="Maturation"/>
    <s v="OP-04"/>
    <x v="1"/>
    <s v="Day"/>
    <n v="466.9"/>
    <n v="1816.3"/>
    <n v="330.9"/>
    <n v="329.2"/>
    <n v="-1.7"/>
    <n v="-5.1000000000000004E-3"/>
    <n v="5.6"/>
    <n v="6.94"/>
    <n v="67.099999999999994"/>
    <n v="65.5"/>
    <n v="1"/>
    <x v="0"/>
    <n v="1"/>
    <s v="PASS"/>
    <m/>
    <s v="ERP-2023-0035"/>
    <m/>
  </r>
  <r>
    <s v="BTH-2023-0007"/>
    <x v="4"/>
    <x v="0"/>
    <x v="2"/>
    <s v="Maturation"/>
    <s v="OP-01"/>
    <x v="3"/>
    <s v="Night"/>
    <n v="924.1"/>
    <n v="3241.6"/>
    <n v="615.20000000000005"/>
    <n v="578.70000000000005"/>
    <n v="-36.5"/>
    <n v="-5.9299999999999999E-2"/>
    <n v="8.5"/>
    <n v="8.1300000000000008"/>
    <n v="61.4"/>
    <n v="63.5"/>
    <n v="0"/>
    <x v="0"/>
    <n v="1"/>
    <s v="PASS"/>
    <m/>
    <s v="ERP-2023-0015"/>
    <s v="ABV over-strength — blending adjustment applied"/>
  </r>
  <r>
    <s v="BTH-2023-0008"/>
    <x v="4"/>
    <x v="2"/>
    <x v="0"/>
    <s v="Blending"/>
    <s v="OP-03"/>
    <x v="4"/>
    <s v="Day"/>
    <n v="824.9"/>
    <n v="3736.2"/>
    <n v="593.9"/>
    <n v="599.6"/>
    <n v="5.7"/>
    <n v="9.5999999999999992E-3"/>
    <n v="13.4"/>
    <n v="14.76"/>
    <n v="68.5"/>
    <n v="66.099999999999994"/>
    <n v="3"/>
    <x v="0"/>
    <n v="0"/>
    <s v="FAIL"/>
    <m/>
    <s v="ERP-2023-0146"/>
    <s v="ABV under-strength — batch held pending QC review"/>
  </r>
  <r>
    <s v="BTH-2023-0009"/>
    <x v="5"/>
    <x v="1"/>
    <x v="2"/>
    <s v="Maturation"/>
    <s v="OP-02"/>
    <x v="2"/>
    <s v="Day"/>
    <n v="1023.8"/>
    <n v="3627.4"/>
    <n v="593.70000000000005"/>
    <n v="576.5"/>
    <n v="-17.2"/>
    <n v="-2.9000000000000001E-2"/>
    <n v="14.6"/>
    <n v="12.3"/>
    <n v="60"/>
    <n v="58.1"/>
    <n v="0"/>
    <x v="0"/>
    <n v="1"/>
    <s v="PASS"/>
    <m/>
    <s v="ERP-2023-0027"/>
    <m/>
  </r>
  <r>
    <s v="BTH-2023-0010"/>
    <x v="6"/>
    <x v="3"/>
    <x v="0"/>
    <s v="Maturation"/>
    <s v="OP-04"/>
    <x v="1"/>
    <s v="Day"/>
    <n v="951.5"/>
    <n v="4330.3"/>
    <n v="576.9"/>
    <n v="527.20000000000005"/>
    <n v="-49.7"/>
    <n v="-8.6199999999999999E-2"/>
    <n v="12"/>
    <n v="11.38"/>
    <n v="62.2"/>
    <n v="61.7"/>
    <n v="0"/>
    <x v="0"/>
    <n v="0"/>
    <s v="FAIL"/>
    <m/>
    <s v="ERP-2023-0170"/>
    <s v="Yield below threshold — reviewed with production lead"/>
  </r>
  <r>
    <s v="BTH-2023-0011"/>
    <x v="7"/>
    <x v="0"/>
    <x v="0"/>
    <s v="Fermentation"/>
    <s v="OP-04"/>
    <x v="1"/>
    <s v="Night"/>
    <n v="464.9"/>
    <n v="2022.7"/>
    <n v="262.5"/>
    <n v="257.3"/>
    <n v="-5.2"/>
    <n v="-1.9800000000000002E-2"/>
    <n v="8.6"/>
    <n v="9.58"/>
    <n v="62"/>
    <n v="63.4"/>
    <n v="0"/>
    <x v="0"/>
    <n v="1"/>
    <s v="PASS"/>
    <m/>
    <s v="ERP-2023-0004"/>
    <m/>
  </r>
  <r>
    <s v="BTH-2023-0012"/>
    <x v="8"/>
    <x v="1"/>
    <x v="1"/>
    <s v="Fermentation"/>
    <s v="OP-05"/>
    <x v="0"/>
    <s v="Night"/>
    <n v="526.79999999999995"/>
    <n v="2306.4"/>
    <n v="352"/>
    <n v="359.1"/>
    <n v="7.1"/>
    <n v="2.0199999999999999E-2"/>
    <n v="5.6"/>
    <n v="5.0599999999999996"/>
    <n v="62.8"/>
    <n v="62.1"/>
    <n v="1"/>
    <x v="2"/>
    <n v="1"/>
    <s v="PASS"/>
    <m/>
    <s v="ERP-2023-0016"/>
    <m/>
  </r>
  <r>
    <s v="BTH-2023-0013"/>
    <x v="9"/>
    <x v="2"/>
    <x v="0"/>
    <s v="Blending"/>
    <s v="OP-02"/>
    <x v="2"/>
    <s v="Night"/>
    <n v="710.4"/>
    <n v="3900.9"/>
    <n v="506.3"/>
    <n v="461.4"/>
    <n v="-44.9"/>
    <n v="-8.8700000000000001E-2"/>
    <n v="13.3"/>
    <n v="15.55"/>
    <n v="69.599999999999994"/>
    <n v="72"/>
    <n v="1"/>
    <x v="0"/>
    <n v="1"/>
    <s v="PASS"/>
    <m/>
    <s v="ERP-2023-0186"/>
    <s v="Yield below threshold — reviewed with production lead"/>
  </r>
  <r>
    <s v="BTH-2023-0014"/>
    <x v="10"/>
    <x v="2"/>
    <x v="3"/>
    <s v="Maturation"/>
    <s v="OP-02"/>
    <x v="2"/>
    <s v="Day"/>
    <n v="603.20000000000005"/>
    <n v="3217.6"/>
    <n v="345.7"/>
    <n v="329.4"/>
    <n v="-16.3"/>
    <n v="-4.7199999999999999E-2"/>
    <n v="8.9"/>
    <n v="11.44"/>
    <n v="63.8"/>
    <n v="64.099999999999994"/>
    <n v="0"/>
    <x v="0"/>
    <n v="1"/>
    <s v="PASS"/>
    <m/>
    <s v="ERP-2023-0079"/>
    <m/>
  </r>
  <r>
    <s v="BTH-2023-0015"/>
    <x v="11"/>
    <x v="2"/>
    <x v="2"/>
    <s v="Blending"/>
    <s v="OP-02"/>
    <x v="2"/>
    <s v="Night"/>
    <n v="982.4"/>
    <n v="4151.1000000000004"/>
    <n v="685"/>
    <n v="664.3"/>
    <n v="-20.7"/>
    <n v="-3.0200000000000001E-2"/>
    <n v="5.4"/>
    <n v="7.26"/>
    <n v="69"/>
    <n v="69.7"/>
    <n v="0"/>
    <x v="0"/>
    <n v="1"/>
    <s v="PASS"/>
    <m/>
    <s v="ERP-2023-0188"/>
    <m/>
  </r>
  <r>
    <s v="BTH-2023-0016"/>
    <x v="12"/>
    <x v="1"/>
    <x v="2"/>
    <s v="Fermentation"/>
    <s v="OP-01"/>
    <x v="3"/>
    <s v="Night"/>
    <n v="542"/>
    <n v="2434.3000000000002"/>
    <n v="332.1"/>
    <n v="350.3"/>
    <n v="18.2"/>
    <n v="5.4800000000000001E-2"/>
    <n v="6.6"/>
    <n v="6"/>
    <n v="63.9"/>
    <n v="65.5"/>
    <n v="0"/>
    <x v="0"/>
    <n v="1"/>
    <s v="PASS"/>
    <m/>
    <s v="ERP-2023-0124"/>
    <m/>
  </r>
  <r>
    <s v="BTH-2023-0017"/>
    <x v="12"/>
    <x v="2"/>
    <x v="1"/>
    <s v="Maturation"/>
    <s v="OP-02"/>
    <x v="2"/>
    <s v="Day"/>
    <n v="917.5"/>
    <n v="3783.1"/>
    <n v="659.7"/>
    <n v="677.6"/>
    <n v="17.899999999999999"/>
    <n v="2.7099999999999999E-2"/>
    <n v="17.899999999999999"/>
    <n v="23.69"/>
    <n v="60.2"/>
    <n v="59.7"/>
    <n v="5"/>
    <x v="2"/>
    <n v="1"/>
    <s v="PASS"/>
    <m/>
    <s v="ERP-2023-0148"/>
    <s v="Extended downtime — operations manager notified"/>
  </r>
  <r>
    <s v="BTH-2023-0018"/>
    <x v="13"/>
    <x v="3"/>
    <x v="2"/>
    <s v="Blending"/>
    <s v="OP-03"/>
    <x v="4"/>
    <s v="Day"/>
    <n v="995.2"/>
    <n v="4670.3"/>
    <n v="600.9"/>
    <n v="597.70000000000005"/>
    <n v="-3.2"/>
    <n v="-5.3E-3"/>
    <n v="8.1999999999999993"/>
    <n v="8.7899999999999991"/>
    <n v="62.3"/>
    <n v="61.6"/>
    <n v="0"/>
    <x v="0"/>
    <n v="1"/>
    <s v="PASS"/>
    <m/>
    <s v="ERP-2023-0153"/>
    <m/>
  </r>
  <r>
    <s v="BTH-2023-0019"/>
    <x v="14"/>
    <x v="1"/>
    <x v="1"/>
    <s v="Maturation"/>
    <s v="OP-05"/>
    <x v="0"/>
    <s v="Day"/>
    <n v="908.1"/>
    <n v="4192.8999999999996"/>
    <n v="532.20000000000005"/>
    <n v="526.70000000000005"/>
    <n v="-5.5"/>
    <n v="-1.03E-2"/>
    <n v="7.3"/>
    <n v="8.8800000000000008"/>
    <n v="66.7"/>
    <n v="66.400000000000006"/>
    <n v="3"/>
    <x v="3"/>
    <n v="1"/>
    <s v="PASS"/>
    <m/>
    <s v="ERP-2023-0141"/>
    <s v="Extended downtime — operations manager notified"/>
  </r>
  <r>
    <s v="BTH-2023-0020"/>
    <x v="15"/>
    <x v="2"/>
    <x v="2"/>
    <s v="Bottling"/>
    <s v="OP-03"/>
    <x v="4"/>
    <s v="Night"/>
    <n v="826.6"/>
    <n v="4430.3"/>
    <n v="490.7"/>
    <n v="515.5"/>
    <n v="24.8"/>
    <n v="5.0500000000000003E-2"/>
    <n v="13.2"/>
    <n v="15.4"/>
    <n v="62.8"/>
    <n v="63.7"/>
    <n v="2"/>
    <x v="0"/>
    <n v="1"/>
    <s v="PASS"/>
    <m/>
    <s v="ERP-2023-0009"/>
    <m/>
  </r>
  <r>
    <s v="BTH-2023-0021"/>
    <x v="15"/>
    <x v="1"/>
    <x v="4"/>
    <s v="Fermentation"/>
    <s v="OP-02"/>
    <x v="2"/>
    <s v="Night"/>
    <n v="534.29999999999995"/>
    <n v="1891.6"/>
    <n v="379.2"/>
    <n v="384.6"/>
    <n v="5.4"/>
    <n v="1.4200000000000001E-2"/>
    <n v="5.6"/>
    <n v="7.14"/>
    <n v="64.5"/>
    <n v="65.400000000000006"/>
    <n v="1"/>
    <x v="0"/>
    <n v="1"/>
    <s v="PASS"/>
    <m/>
    <s v="ERP-2023-0182"/>
    <m/>
  </r>
  <r>
    <s v="BTH-2023-0022"/>
    <x v="16"/>
    <x v="2"/>
    <x v="3"/>
    <s v="Blending"/>
    <s v="OP-03"/>
    <x v="4"/>
    <s v="Night"/>
    <n v="506.1"/>
    <n v="1927.8"/>
    <n v="345.5"/>
    <n v="353.3"/>
    <n v="7.8"/>
    <n v="2.2599999999999999E-2"/>
    <n v="17.399999999999999"/>
    <n v="17.5"/>
    <n v="66.7"/>
    <n v="65.2"/>
    <n v="0"/>
    <x v="0"/>
    <n v="1"/>
    <s v="PASS"/>
    <m/>
    <s v="ERP-2023-0066"/>
    <m/>
  </r>
  <r>
    <s v="BTH-2023-0023"/>
    <x v="16"/>
    <x v="4"/>
    <x v="1"/>
    <s v="Maturation"/>
    <s v="OP-02"/>
    <x v="2"/>
    <s v="Night"/>
    <n v="913.9"/>
    <n v="4189.8"/>
    <n v="544.5"/>
    <n v="574"/>
    <n v="29.5"/>
    <n v="5.4199999999999998E-2"/>
    <n v="12.8"/>
    <n v="14.86"/>
    <n v="61.6"/>
    <n v="59.3"/>
    <n v="0"/>
    <x v="0"/>
    <n v="0"/>
    <s v="FAIL"/>
    <m/>
    <s v="ERP-2023-0083"/>
    <s v="ABV under-strength — batch held pending QC review"/>
  </r>
  <r>
    <s v="BTH-2023-0024"/>
    <x v="17"/>
    <x v="4"/>
    <x v="2"/>
    <s v="Distillation"/>
    <s v="OP-05"/>
    <x v="0"/>
    <s v="Night"/>
    <n v="796.6"/>
    <n v="2942.7"/>
    <n v="523.20000000000005"/>
    <n v="550.29999999999995"/>
    <n v="27.1"/>
    <n v="5.1799999999999999E-2"/>
    <n v="8.4"/>
    <n v="11.38"/>
    <n v="66.599999999999994"/>
    <n v="65"/>
    <n v="3"/>
    <x v="4"/>
    <n v="1"/>
    <s v="PASS"/>
    <m/>
    <s v="ERP-2023-0025"/>
    <s v="Extended downtime — operations manager notified"/>
  </r>
  <r>
    <s v="BTH-2023-0025"/>
    <x v="17"/>
    <x v="0"/>
    <x v="0"/>
    <s v="Fermentation"/>
    <s v="OP-04"/>
    <x v="1"/>
    <s v="Night"/>
    <n v="1095.5"/>
    <n v="5859.4"/>
    <n v="754.1"/>
    <n v="772.8"/>
    <n v="18.7"/>
    <n v="2.4799999999999999E-2"/>
    <n v="8.4"/>
    <n v="9.9499999999999993"/>
    <n v="67.2"/>
    <n v="68.8"/>
    <n v="0"/>
    <x v="0"/>
    <n v="0"/>
    <s v="FAIL"/>
    <m/>
    <s v="ERP-2023-0109"/>
    <m/>
  </r>
  <r>
    <s v="BTH-2023-0026"/>
    <x v="18"/>
    <x v="0"/>
    <x v="0"/>
    <s v="Mashing"/>
    <s v="OP-03"/>
    <x v="4"/>
    <s v="Night"/>
    <n v="1023.4"/>
    <n v="3938.3"/>
    <n v="629.9"/>
    <n v="549.6"/>
    <n v="-80.3"/>
    <n v="-0.1275"/>
    <n v="6.7"/>
    <n v="7.22"/>
    <n v="69.2"/>
    <n v="68.5"/>
    <n v="5"/>
    <x v="4"/>
    <n v="0"/>
    <s v="FAIL"/>
    <m/>
    <s v="ERP-2023-0061"/>
    <s v="Yield below threshold — reviewed with production lead"/>
  </r>
  <r>
    <s v="BTH-2023-0027"/>
    <x v="18"/>
    <x v="2"/>
    <x v="3"/>
    <s v="Distillation"/>
    <s v="OP-04"/>
    <x v="1"/>
    <s v="Day"/>
    <n v="627.4"/>
    <n v="2548.1999999999998"/>
    <n v="347.2"/>
    <n v="349.3"/>
    <n v="2.1"/>
    <n v="6.0000000000000001E-3"/>
    <n v="14.8"/>
    <n v="18.670000000000002"/>
    <n v="61.5"/>
    <n v="61.3"/>
    <n v="0.5"/>
    <x v="2"/>
    <n v="1"/>
    <s v="PASS"/>
    <m/>
    <s v="ERP-2023-0142"/>
    <m/>
  </r>
  <r>
    <s v="BTH-2023-0028"/>
    <x v="19"/>
    <x v="1"/>
    <x v="2"/>
    <s v="Fermentation"/>
    <s v="OP-01"/>
    <x v="3"/>
    <s v="Day"/>
    <n v="1040.9000000000001"/>
    <n v="5631.5"/>
    <n v="699"/>
    <n v="709.3"/>
    <n v="10.3"/>
    <n v="1.47E-2"/>
    <n v="11.6"/>
    <n v="10.68"/>
    <n v="61.9"/>
    <n v="60.7"/>
    <n v="0"/>
    <x v="0"/>
    <n v="1"/>
    <s v="PASS"/>
    <m/>
    <s v="ERP-2023-0149"/>
    <m/>
  </r>
  <r>
    <s v="BTH-2023-0029"/>
    <x v="20"/>
    <x v="2"/>
    <x v="4"/>
    <s v="Bottling"/>
    <s v="OP-04"/>
    <x v="1"/>
    <s v="Night"/>
    <n v="782.8"/>
    <n v="3072.6"/>
    <n v="558.29999999999995"/>
    <n v="565.29999999999995"/>
    <n v="7"/>
    <n v="1.2500000000000001E-2"/>
    <n v="6.3"/>
    <n v="7.65"/>
    <n v="66.7"/>
    <n v="67.3"/>
    <n v="0"/>
    <x v="0"/>
    <n v="1"/>
    <s v="PASS"/>
    <m/>
    <s v="ERP-2023-0198"/>
    <m/>
  </r>
  <r>
    <s v="BTH-2023-0030"/>
    <x v="21"/>
    <x v="1"/>
    <x v="2"/>
    <s v="Mashing"/>
    <s v="OP-03"/>
    <x v="4"/>
    <s v="Day"/>
    <n v="459.3"/>
    <n v="2264.8000000000002"/>
    <n v="326.60000000000002"/>
    <n v="333.4"/>
    <n v="6.8"/>
    <n v="2.0799999999999999E-2"/>
    <n v="15.9"/>
    <n v="19.28"/>
    <n v="69.099999999999994"/>
    <n v="69"/>
    <n v="0"/>
    <x v="0"/>
    <n v="1"/>
    <s v="PASS"/>
    <m/>
    <s v="ERP-2023-0163"/>
    <m/>
  </r>
  <r>
    <s v="BTH-2023-0031"/>
    <x v="22"/>
    <x v="2"/>
    <x v="0"/>
    <s v="Distillation"/>
    <s v="OP-01"/>
    <x v="3"/>
    <s v="Day"/>
    <n v="638.20000000000005"/>
    <n v="2661"/>
    <n v="355.7"/>
    <n v="353"/>
    <n v="-2.7"/>
    <n v="-7.6E-3"/>
    <n v="11.6"/>
    <n v="11.71"/>
    <n v="63.5"/>
    <n v="61.2"/>
    <n v="0"/>
    <x v="0"/>
    <n v="1"/>
    <s v="PASS"/>
    <m/>
    <s v="ERP-2023-0036"/>
    <s v="ABV under-strength — batch held pending QC review"/>
  </r>
  <r>
    <s v="BTH-2023-0032"/>
    <x v="23"/>
    <x v="1"/>
    <x v="0"/>
    <s v="Blending"/>
    <s v="OP-05"/>
    <x v="0"/>
    <s v="Night"/>
    <n v="907.1"/>
    <n v="4447.5"/>
    <n v="615.1"/>
    <n v="644.5"/>
    <n v="29.4"/>
    <n v="4.7800000000000002E-2"/>
    <n v="11.4"/>
    <n v="13.24"/>
    <n v="64.5"/>
    <n v="65.900000000000006"/>
    <n v="0"/>
    <x v="0"/>
    <n v="1"/>
    <s v="PASS"/>
    <m/>
    <s v="ERP-2023-0134"/>
    <m/>
  </r>
  <r>
    <s v="BTH-2023-0033"/>
    <x v="24"/>
    <x v="4"/>
    <x v="2"/>
    <s v="Maturation"/>
    <s v="OP-01"/>
    <x v="3"/>
    <s v="Day"/>
    <n v="632.1"/>
    <n v="3154.4"/>
    <n v="420.3"/>
    <n v="424.6"/>
    <n v="4.3"/>
    <n v="1.0200000000000001E-2"/>
    <n v="10.7"/>
    <n v="11.82"/>
    <n v="69.5"/>
    <n v="67.099999999999994"/>
    <n v="1"/>
    <x v="4"/>
    <n v="1"/>
    <s v="PASS"/>
    <m/>
    <s v="ERP-2023-0102"/>
    <s v="ABV under-strength — batch held pending QC review"/>
  </r>
  <r>
    <s v="BTH-2023-0034"/>
    <x v="24"/>
    <x v="4"/>
    <x v="4"/>
    <s v="Distillation"/>
    <s v="OP-02"/>
    <x v="2"/>
    <s v="Night"/>
    <n v="692.1"/>
    <n v="2999.5"/>
    <n v="477.8"/>
    <n v="490"/>
    <n v="12.2"/>
    <n v="2.5499999999999998E-2"/>
    <n v="15.7"/>
    <n v="13.82"/>
    <n v="60.2"/>
    <n v="59.1"/>
    <n v="3"/>
    <x v="4"/>
    <n v="1"/>
    <s v="PASS"/>
    <m/>
    <s v="ERP-2023-0104"/>
    <s v="Extended downtime — operations manager notified"/>
  </r>
  <r>
    <s v="BTH-2023-0035"/>
    <x v="25"/>
    <x v="0"/>
    <x v="3"/>
    <s v="Distillation"/>
    <s v="OP-02"/>
    <x v="2"/>
    <s v="Day"/>
    <n v="727.9"/>
    <n v="3893"/>
    <n v="509.3"/>
    <n v="511.8"/>
    <n v="2.5"/>
    <n v="4.8999999999999998E-3"/>
    <n v="7.3"/>
    <n v="6.97"/>
    <n v="68.599999999999994"/>
    <n v="67.900000000000006"/>
    <n v="3"/>
    <x v="1"/>
    <n v="0"/>
    <s v="FAIL"/>
    <m/>
    <s v="ERP-2023-0006"/>
    <s v="Extended downtime — operations manager notified"/>
  </r>
  <r>
    <s v="BTH-2023-0036"/>
    <x v="25"/>
    <x v="2"/>
    <x v="4"/>
    <s v="Bottling"/>
    <s v="OP-01"/>
    <x v="3"/>
    <s v="Night"/>
    <n v="581.4"/>
    <n v="2978.8"/>
    <n v="351.3"/>
    <n v="319.10000000000002"/>
    <n v="-32.200000000000003"/>
    <n v="-9.1700000000000004E-2"/>
    <n v="10"/>
    <n v="8.0500000000000007"/>
    <n v="65.2"/>
    <n v="66.599999999999994"/>
    <n v="0"/>
    <x v="0"/>
    <n v="0"/>
    <s v="FAIL"/>
    <m/>
    <s v="ERP-2023-0080"/>
    <s v="Yield below threshold — reviewed with production lead"/>
  </r>
  <r>
    <s v="BTH-2023-0037"/>
    <x v="25"/>
    <x v="2"/>
    <x v="0"/>
    <s v="Blending"/>
    <s v="OP-04"/>
    <x v="1"/>
    <s v="Day"/>
    <n v="641"/>
    <n v="2369.5"/>
    <n v="447.7"/>
    <n v="437.5"/>
    <n v="-10.199999999999999"/>
    <n v="-2.2800000000000001E-2"/>
    <n v="15.5"/>
    <n v="15.76"/>
    <n v="61"/>
    <n v="63.4"/>
    <n v="0"/>
    <x v="0"/>
    <n v="0"/>
    <s v="FAIL"/>
    <m/>
    <s v="ERP-2023-0082"/>
    <s v="ABV over-strength — blending adjustment applied"/>
  </r>
  <r>
    <s v="BTH-2023-0038"/>
    <x v="26"/>
    <x v="3"/>
    <x v="0"/>
    <s v="Bottling"/>
    <s v="OP-04"/>
    <x v="1"/>
    <s v="Day"/>
    <n v="497"/>
    <n v="2226.4"/>
    <n v="305.5"/>
    <n v="319.5"/>
    <n v="14"/>
    <n v="4.58E-2"/>
    <n v="4.8"/>
    <n v="4.4000000000000004"/>
    <n v="68.8"/>
    <n v="66.900000000000006"/>
    <n v="1"/>
    <x v="0"/>
    <n v="1"/>
    <s v="PASS"/>
    <m/>
    <s v="ERP-2023-0051"/>
    <m/>
  </r>
  <r>
    <s v="BTH-2023-0039"/>
    <x v="27"/>
    <x v="0"/>
    <x v="2"/>
    <s v="Maturation"/>
    <s v="OP-05"/>
    <x v="0"/>
    <s v="Day"/>
    <n v="874.5"/>
    <n v="3483"/>
    <n v="519.5"/>
    <n v="550.20000000000005"/>
    <n v="30.7"/>
    <n v="5.91E-2"/>
    <n v="9.5"/>
    <n v="8.16"/>
    <n v="64.599999999999994"/>
    <n v="66.5"/>
    <n v="0"/>
    <x v="0"/>
    <n v="1"/>
    <s v="PASS"/>
    <m/>
    <s v="ERP-2023-0091"/>
    <m/>
  </r>
  <r>
    <s v="BTH-2023-0040"/>
    <x v="27"/>
    <x v="2"/>
    <x v="1"/>
    <s v="Fermentation"/>
    <s v="OP-05"/>
    <x v="0"/>
    <s v="Night"/>
    <n v="870.2"/>
    <n v="4589.7"/>
    <n v="564.5"/>
    <n v="569.29999999999995"/>
    <n v="4.8"/>
    <n v="8.5000000000000006E-3"/>
    <n v="14"/>
    <n v="14.49"/>
    <n v="68.3"/>
    <n v="69.400000000000006"/>
    <n v="3"/>
    <x v="1"/>
    <n v="0"/>
    <s v="FAIL"/>
    <m/>
    <s v="ERP-2023-0164"/>
    <s v="Extended downtime — operations manager notified"/>
  </r>
  <r>
    <s v="BTH-2023-0041"/>
    <x v="28"/>
    <x v="1"/>
    <x v="1"/>
    <s v="Mashing"/>
    <s v="OP-02"/>
    <x v="2"/>
    <s v="Day"/>
    <n v="452.7"/>
    <n v="2190.8000000000002"/>
    <n v="259.8"/>
    <n v="262.60000000000002"/>
    <n v="2.8"/>
    <n v="1.0800000000000001E-2"/>
    <n v="14.6"/>
    <n v="14.69"/>
    <n v="69.3"/>
    <n v="67.099999999999994"/>
    <n v="0"/>
    <x v="0"/>
    <n v="1"/>
    <s v="PASS"/>
    <m/>
    <s v="ERP-2023-0107"/>
    <s v="ABV under-strength — batch held pending QC review"/>
  </r>
  <r>
    <s v="BTH-2023-0042"/>
    <x v="29"/>
    <x v="4"/>
    <x v="1"/>
    <s v="Bottling"/>
    <s v="OP-02"/>
    <x v="2"/>
    <s v="Day"/>
    <n v="1163.7"/>
    <n v="5868.3"/>
    <n v="690.3"/>
    <n v="710.2"/>
    <n v="19.899999999999999"/>
    <n v="2.8799999999999999E-2"/>
    <n v="17.399999999999999"/>
    <n v="21.93"/>
    <n v="60.4"/>
    <n v="59"/>
    <n v="2"/>
    <x v="2"/>
    <n v="1"/>
    <s v="PASS"/>
    <m/>
    <s v="ERP-2023-0052"/>
    <m/>
  </r>
  <r>
    <s v="BTH-2023-0043"/>
    <x v="30"/>
    <x v="0"/>
    <x v="3"/>
    <s v="Mashing"/>
    <s v="OP-03"/>
    <x v="4"/>
    <s v="Night"/>
    <n v="807"/>
    <n v="3210.7"/>
    <n v="486"/>
    <n v="487.4"/>
    <n v="1.4"/>
    <n v="2.8999999999999998E-3"/>
    <n v="14.3"/>
    <n v="12.37"/>
    <n v="60.6"/>
    <n v="62.2"/>
    <n v="0"/>
    <x v="0"/>
    <n v="0"/>
    <s v="FAIL"/>
    <m/>
    <s v="ERP-2023-0172"/>
    <m/>
  </r>
  <r>
    <s v="BTH-2023-0044"/>
    <x v="31"/>
    <x v="4"/>
    <x v="3"/>
    <s v="Mashing"/>
    <s v="OP-05"/>
    <x v="0"/>
    <s v="Night"/>
    <n v="727"/>
    <n v="3650.3"/>
    <n v="453.4"/>
    <n v="452.8"/>
    <n v="-0.6"/>
    <n v="-1.2999999999999999E-3"/>
    <n v="11.1"/>
    <n v="12.14"/>
    <n v="62.4"/>
    <n v="63.4"/>
    <n v="0"/>
    <x v="0"/>
    <n v="1"/>
    <s v="PASS"/>
    <m/>
    <s v="ERP-2023-0154"/>
    <m/>
  </r>
  <r>
    <s v="BTH-2023-0045"/>
    <x v="32"/>
    <x v="3"/>
    <x v="4"/>
    <s v="Mashing"/>
    <s v="OP-01"/>
    <x v="3"/>
    <s v="Night"/>
    <n v="531.20000000000005"/>
    <n v="2585.4"/>
    <n v="368.6"/>
    <n v="376.1"/>
    <n v="7.5"/>
    <n v="2.0299999999999999E-2"/>
    <n v="17.600000000000001"/>
    <n v="18.059999999999999"/>
    <n v="62.7"/>
    <n v="61.3"/>
    <n v="0"/>
    <x v="0"/>
    <n v="1"/>
    <s v="PASS"/>
    <m/>
    <s v="ERP-2023-0020"/>
    <m/>
  </r>
  <r>
    <s v="BTH-2023-0046"/>
    <x v="32"/>
    <x v="0"/>
    <x v="1"/>
    <s v="Mashing"/>
    <s v="OP-03"/>
    <x v="4"/>
    <s v="Night"/>
    <n v="712.9"/>
    <n v="3761.9"/>
    <n v="464.5"/>
    <n v="459.8"/>
    <n v="-4.7"/>
    <n v="-1.01E-2"/>
    <n v="14.8"/>
    <n v="14.56"/>
    <n v="64.5"/>
    <n v="64.5"/>
    <n v="3"/>
    <x v="5"/>
    <n v="0"/>
    <s v="FAIL"/>
    <m/>
    <s v="ERP-2023-0033"/>
    <s v="Extended downtime — operations manager notified"/>
  </r>
  <r>
    <s v="BTH-2023-0047"/>
    <x v="33"/>
    <x v="1"/>
    <x v="4"/>
    <s v="Fermentation"/>
    <s v="OP-04"/>
    <x v="1"/>
    <s v="Night"/>
    <n v="706.4"/>
    <n v="3564.3"/>
    <n v="419.8"/>
    <n v="431.3"/>
    <n v="11.5"/>
    <n v="2.7400000000000001E-2"/>
    <n v="12.4"/>
    <n v="13.79"/>
    <n v="67.3"/>
    <n v="68.3"/>
    <n v="1"/>
    <x v="5"/>
    <n v="1"/>
    <s v="PASS"/>
    <m/>
    <s v="ERP-2023-0088"/>
    <m/>
  </r>
  <r>
    <s v="BTH-2023-0048"/>
    <x v="34"/>
    <x v="2"/>
    <x v="3"/>
    <s v="Maturation"/>
    <s v="OP-03"/>
    <x v="4"/>
    <s v="Night"/>
    <n v="421.4"/>
    <n v="1945.7"/>
    <n v="297.39999999999998"/>
    <n v="297.3"/>
    <n v="-0.1"/>
    <n v="-2.9999999999999997E-4"/>
    <n v="6.6"/>
    <n v="5.81"/>
    <n v="64.3"/>
    <n v="63.9"/>
    <n v="2"/>
    <x v="0"/>
    <n v="1"/>
    <s v="PASS"/>
    <m/>
    <s v="ERP-2023-0101"/>
    <m/>
  </r>
  <r>
    <s v="BTH-2023-0049"/>
    <x v="35"/>
    <x v="3"/>
    <x v="3"/>
    <s v="Fermentation"/>
    <s v="OP-03"/>
    <x v="4"/>
    <s v="Day"/>
    <n v="921.2"/>
    <n v="4462.8"/>
    <n v="585.70000000000005"/>
    <n v="619.20000000000005"/>
    <n v="33.5"/>
    <n v="5.7200000000000001E-2"/>
    <n v="7.3"/>
    <n v="8.14"/>
    <n v="66.900000000000006"/>
    <n v="66.5"/>
    <n v="1"/>
    <x v="0"/>
    <n v="1"/>
    <s v="PASS"/>
    <m/>
    <s v="ERP-2023-0024"/>
    <m/>
  </r>
  <r>
    <s v="BTH-2023-0050"/>
    <x v="36"/>
    <x v="0"/>
    <x v="0"/>
    <s v="Fermentation"/>
    <s v="OP-05"/>
    <x v="0"/>
    <s v="Day"/>
    <n v="1106.9000000000001"/>
    <n v="5043.3"/>
    <n v="707.3"/>
    <n v="716.5"/>
    <n v="9.1999999999999993"/>
    <n v="1.2999999999999999E-2"/>
    <n v="15.2"/>
    <n v="14.73"/>
    <n v="61.9"/>
    <n v="61.2"/>
    <n v="2"/>
    <x v="3"/>
    <n v="1"/>
    <s v="PASS"/>
    <m/>
    <s v="ERP-2023-0065"/>
    <m/>
  </r>
  <r>
    <s v="BTH-2023-0051"/>
    <x v="37"/>
    <x v="2"/>
    <x v="3"/>
    <s v="Distillation"/>
    <s v="OP-03"/>
    <x v="4"/>
    <s v="Night"/>
    <n v="941.1"/>
    <n v="4945.8999999999996"/>
    <n v="615.6"/>
    <n v="594.6"/>
    <n v="-21"/>
    <n v="-3.4099999999999998E-2"/>
    <n v="7.6"/>
    <n v="9.6999999999999993"/>
    <n v="68.099999999999994"/>
    <n v="67.099999999999994"/>
    <n v="0"/>
    <x v="0"/>
    <n v="1"/>
    <s v="PASS"/>
    <m/>
    <s v="ERP-2023-0191"/>
    <m/>
  </r>
  <r>
    <s v="BTH-2023-0052"/>
    <x v="38"/>
    <x v="4"/>
    <x v="2"/>
    <s v="Maturation"/>
    <s v="OP-03"/>
    <x v="4"/>
    <s v="Day"/>
    <n v="867.9"/>
    <n v="4031.3"/>
    <n v="548.1"/>
    <n v="548.5"/>
    <n v="0.4"/>
    <n v="6.9999999999999999E-4"/>
    <n v="9.6999999999999993"/>
    <n v="12.46"/>
    <n v="67.5"/>
    <n v="65.099999999999994"/>
    <n v="0"/>
    <x v="0"/>
    <n v="0"/>
    <s v="FAIL"/>
    <m/>
    <s v="ERP-2023-0075"/>
    <s v="ABV under-strength — batch held pending QC review"/>
  </r>
  <r>
    <s v="BTH-2023-0053"/>
    <x v="39"/>
    <x v="1"/>
    <x v="4"/>
    <s v="Bottling"/>
    <s v="OP-03"/>
    <x v="4"/>
    <s v="Night"/>
    <n v="863.4"/>
    <n v="3518.5"/>
    <n v="497.8"/>
    <n v="497.7"/>
    <n v="-0.1"/>
    <n v="-2.0000000000000001E-4"/>
    <n v="6.5"/>
    <n v="7.42"/>
    <n v="69.8"/>
    <n v="68.900000000000006"/>
    <n v="0"/>
    <x v="0"/>
    <n v="1"/>
    <s v="PASS"/>
    <m/>
    <s v="ERP-2023-0200"/>
    <m/>
  </r>
  <r>
    <s v="BTH-2023-0054"/>
    <x v="40"/>
    <x v="0"/>
    <x v="3"/>
    <s v="Distillation"/>
    <s v="OP-03"/>
    <x v="4"/>
    <s v="Night"/>
    <n v="597.79999999999995"/>
    <n v="3199.2"/>
    <n v="335.1"/>
    <n v="330.6"/>
    <n v="-4.5"/>
    <n v="-1.34E-2"/>
    <n v="15.5"/>
    <n v="13.18"/>
    <n v="65.599999999999994"/>
    <n v="63.1"/>
    <n v="2"/>
    <x v="0"/>
    <n v="1"/>
    <s v="PASS"/>
    <m/>
    <s v="ERP-2023-0058"/>
    <s v="ABV under-strength — batch held pending QC review"/>
  </r>
  <r>
    <s v="BTH-2023-0055"/>
    <x v="40"/>
    <x v="3"/>
    <x v="1"/>
    <s v="Blending"/>
    <s v="OP-01"/>
    <x v="3"/>
    <s v="Day"/>
    <n v="808.7"/>
    <n v="3209"/>
    <n v="485.8"/>
    <n v="524"/>
    <n v="38.200000000000003"/>
    <n v="7.8600000000000003E-2"/>
    <n v="14.1"/>
    <n v="12.73"/>
    <n v="62.3"/>
    <n v="63.6"/>
    <n v="1"/>
    <x v="0"/>
    <n v="1"/>
    <s v="PASS"/>
    <m/>
    <s v="ERP-2023-0126"/>
    <m/>
  </r>
  <r>
    <s v="BTH-2023-0056"/>
    <x v="41"/>
    <x v="0"/>
    <x v="2"/>
    <s v="Bottling"/>
    <s v="OP-02"/>
    <x v="2"/>
    <s v="Day"/>
    <n v="492.8"/>
    <n v="2172.6"/>
    <n v="332.1"/>
    <n v="327.5"/>
    <n v="-4.5999999999999996"/>
    <n v="-1.3899999999999999E-2"/>
    <n v="13.1"/>
    <n v="13.8"/>
    <n v="69.599999999999994"/>
    <n v="70.2"/>
    <n v="0"/>
    <x v="0"/>
    <n v="1"/>
    <s v="PASS"/>
    <m/>
    <s v="ERP-2023-0171"/>
    <m/>
  </r>
  <r>
    <s v="BTH-2023-0057"/>
    <x v="42"/>
    <x v="2"/>
    <x v="3"/>
    <s v="Bottling"/>
    <s v="OP-01"/>
    <x v="3"/>
    <s v="Night"/>
    <n v="745.7"/>
    <n v="3230.6"/>
    <n v="483.2"/>
    <n v="482.5"/>
    <n v="-0.7"/>
    <n v="-1.4E-3"/>
    <n v="4.9000000000000004"/>
    <n v="6.01"/>
    <n v="67.2"/>
    <n v="69.5"/>
    <n v="0"/>
    <x v="0"/>
    <n v="1"/>
    <s v="PASS"/>
    <m/>
    <s v="ERP-2023-0175"/>
    <s v="ABV over-strength — blending adjustment applied"/>
  </r>
  <r>
    <s v="BTH-2023-0058"/>
    <x v="43"/>
    <x v="2"/>
    <x v="1"/>
    <s v="Fermentation"/>
    <s v="OP-04"/>
    <x v="1"/>
    <s v="Day"/>
    <n v="981.3"/>
    <n v="4844.3"/>
    <n v="647.1"/>
    <n v="692.5"/>
    <n v="45.4"/>
    <n v="7.0199999999999999E-2"/>
    <n v="4.5999999999999996"/>
    <n v="4.5999999999999996"/>
    <n v="62.2"/>
    <n v="61"/>
    <n v="0"/>
    <x v="0"/>
    <n v="1"/>
    <s v="PASS"/>
    <m/>
    <s v="ERP-2023-0137"/>
    <m/>
  </r>
  <r>
    <s v="BTH-2023-0059"/>
    <x v="44"/>
    <x v="2"/>
    <x v="3"/>
    <s v="Distillation"/>
    <s v="OP-04"/>
    <x v="1"/>
    <s v="Day"/>
    <n v="782.5"/>
    <n v="3696.9"/>
    <n v="479.5"/>
    <n v="468.3"/>
    <n v="-11.2"/>
    <n v="-2.3400000000000001E-2"/>
    <n v="10.8"/>
    <n v="13.28"/>
    <n v="61"/>
    <n v="61.6"/>
    <n v="0"/>
    <x v="0"/>
    <n v="1"/>
    <s v="PASS"/>
    <m/>
    <s v="ERP-2023-0023"/>
    <m/>
  </r>
  <r>
    <s v="BTH-2023-0060"/>
    <x v="45"/>
    <x v="0"/>
    <x v="2"/>
    <s v="Distillation"/>
    <s v="OP-02"/>
    <x v="2"/>
    <s v="Night"/>
    <n v="614.9"/>
    <n v="3056.3"/>
    <n v="356.9"/>
    <n v="377.9"/>
    <n v="21"/>
    <n v="5.8799999999999998E-2"/>
    <n v="16.3"/>
    <n v="13.26"/>
    <n v="60.6"/>
    <n v="58.3"/>
    <n v="0"/>
    <x v="0"/>
    <n v="0"/>
    <s v="FAIL"/>
    <m/>
    <s v="ERP-2023-0057"/>
    <s v="ABV under-strength — batch held pending QC review"/>
  </r>
  <r>
    <s v="BTH-2023-0061"/>
    <x v="46"/>
    <x v="3"/>
    <x v="0"/>
    <s v="Distillation"/>
    <s v="OP-04"/>
    <x v="1"/>
    <s v="Night"/>
    <n v="685.8"/>
    <n v="3084.7"/>
    <n v="386.7"/>
    <n v="344.7"/>
    <n v="-42"/>
    <n v="-0.1086"/>
    <n v="4.0999999999999996"/>
    <n v="4.78"/>
    <n v="68"/>
    <n v="70.099999999999994"/>
    <n v="0"/>
    <x v="0"/>
    <n v="1"/>
    <s v="PASS"/>
    <m/>
    <s v="ERP-2023-0193"/>
    <s v="Yield below threshold — reviewed with production lead"/>
  </r>
  <r>
    <s v="BTH-2023-0062"/>
    <x v="47"/>
    <x v="3"/>
    <x v="1"/>
    <s v="Fermentation"/>
    <s v="OP-02"/>
    <x v="2"/>
    <s v="Night"/>
    <n v="1150.4000000000001"/>
    <n v="5423.5"/>
    <n v="726.4"/>
    <n v="743.7"/>
    <n v="17.3"/>
    <n v="2.3800000000000002E-2"/>
    <n v="4"/>
    <n v="4.3499999999999996"/>
    <n v="62"/>
    <n v="61.5"/>
    <n v="0"/>
    <x v="0"/>
    <n v="1"/>
    <s v="PASS"/>
    <m/>
    <s v="ERP-2023-0150"/>
    <m/>
  </r>
  <r>
    <s v="BTH-2023-0063"/>
    <x v="48"/>
    <x v="0"/>
    <x v="4"/>
    <s v="Maturation"/>
    <s v="OP-04"/>
    <x v="1"/>
    <s v="Night"/>
    <n v="698.1"/>
    <n v="3339.1"/>
    <n v="493.4"/>
    <n v="486.5"/>
    <n v="-6.9"/>
    <n v="-1.4E-2"/>
    <n v="17.7"/>
    <n v="17.899999999999999"/>
    <n v="60.6"/>
    <n v="61.5"/>
    <n v="0"/>
    <x v="0"/>
    <n v="1"/>
    <s v="PASS"/>
    <m/>
    <s v="ERP-2023-0039"/>
    <m/>
  </r>
  <r>
    <s v="BTH-2023-0064"/>
    <x v="49"/>
    <x v="4"/>
    <x v="2"/>
    <s v="Fermentation"/>
    <s v="OP-04"/>
    <x v="1"/>
    <s v="Day"/>
    <n v="647.79999999999995"/>
    <n v="2506.6"/>
    <n v="402.4"/>
    <n v="395.9"/>
    <n v="-6.5"/>
    <n v="-1.6199999999999999E-2"/>
    <n v="17.3"/>
    <n v="16.989999999999998"/>
    <n v="68.5"/>
    <n v="69.599999999999994"/>
    <n v="0"/>
    <x v="0"/>
    <n v="1"/>
    <s v="PASS"/>
    <m/>
    <s v="ERP-2023-0032"/>
    <m/>
  </r>
  <r>
    <s v="BTH-2023-0065"/>
    <x v="50"/>
    <x v="0"/>
    <x v="0"/>
    <s v="Mashing"/>
    <s v="OP-04"/>
    <x v="1"/>
    <s v="Night"/>
    <n v="572.20000000000005"/>
    <n v="3119.5"/>
    <n v="357.3"/>
    <n v="367.2"/>
    <n v="9.9"/>
    <n v="2.7699999999999999E-2"/>
    <n v="13.1"/>
    <n v="18.28"/>
    <n v="64.3"/>
    <n v="66.2"/>
    <n v="0"/>
    <x v="0"/>
    <n v="0"/>
    <s v="FAIL"/>
    <m/>
    <s v="ERP-2023-0049"/>
    <m/>
  </r>
  <r>
    <s v="BTH-2023-0066"/>
    <x v="50"/>
    <x v="3"/>
    <x v="4"/>
    <s v="Distillation"/>
    <s v="OP-01"/>
    <x v="3"/>
    <s v="Night"/>
    <n v="548.20000000000005"/>
    <n v="2436.9"/>
    <n v="331.4"/>
    <n v="340.2"/>
    <n v="8.8000000000000007"/>
    <n v="2.6599999999999999E-2"/>
    <n v="10.1"/>
    <n v="11.64"/>
    <n v="62.6"/>
    <n v="64.400000000000006"/>
    <n v="2"/>
    <x v="0"/>
    <n v="1"/>
    <s v="PASS"/>
    <m/>
    <s v="ERP-2023-0094"/>
    <m/>
  </r>
  <r>
    <s v="BTH-2023-0067"/>
    <x v="51"/>
    <x v="4"/>
    <x v="1"/>
    <s v="Mashing"/>
    <s v="OP-03"/>
    <x v="4"/>
    <s v="Day"/>
    <n v="1191.5"/>
    <n v="6461.7"/>
    <n v="831.3"/>
    <n v="855.6"/>
    <n v="24.3"/>
    <n v="2.92E-2"/>
    <n v="12.7"/>
    <n v="14.02"/>
    <n v="69.2"/>
    <n v="69.900000000000006"/>
    <n v="3"/>
    <x v="1"/>
    <n v="0"/>
    <s v="FAIL"/>
    <m/>
    <s v="ERP-2023-0116"/>
    <s v="Extended downtime — operations manager notified"/>
  </r>
  <r>
    <s v="BTH-2023-0068"/>
    <x v="52"/>
    <x v="0"/>
    <x v="4"/>
    <s v="Maturation"/>
    <s v="OP-02"/>
    <x v="2"/>
    <s v="Night"/>
    <n v="768.7"/>
    <n v="2888"/>
    <n v="439.9"/>
    <n v="449.8"/>
    <n v="9.9"/>
    <n v="2.2499999999999999E-2"/>
    <n v="13.8"/>
    <n v="14.5"/>
    <n v="69.5"/>
    <n v="67.900000000000006"/>
    <n v="0"/>
    <x v="0"/>
    <n v="1"/>
    <s v="PASS"/>
    <m/>
    <s v="ERP-2023-0013"/>
    <m/>
  </r>
  <r>
    <s v="BTH-2023-0069"/>
    <x v="52"/>
    <x v="4"/>
    <x v="0"/>
    <s v="Blending"/>
    <s v="OP-01"/>
    <x v="3"/>
    <s v="Night"/>
    <n v="483.7"/>
    <n v="2544"/>
    <n v="291.10000000000002"/>
    <n v="298.7"/>
    <n v="7.6"/>
    <n v="2.6100000000000002E-2"/>
    <n v="14.9"/>
    <n v="19.760000000000002"/>
    <n v="67.400000000000006"/>
    <n v="69.900000000000006"/>
    <n v="2"/>
    <x v="1"/>
    <n v="0"/>
    <s v="FAIL"/>
    <m/>
    <s v="ERP-2023-0069"/>
    <s v="ABV over-strength — blending adjustment applied"/>
  </r>
  <r>
    <s v="BTH-2023-0070"/>
    <x v="52"/>
    <x v="1"/>
    <x v="2"/>
    <s v="Mashing"/>
    <s v="OP-02"/>
    <x v="2"/>
    <s v="Night"/>
    <n v="636.6"/>
    <n v="2698.4"/>
    <n v="435.4"/>
    <n v="463.2"/>
    <n v="27.8"/>
    <n v="6.3799999999999996E-2"/>
    <n v="6.2"/>
    <n v="8.68"/>
    <n v="60.7"/>
    <n v="63.1"/>
    <n v="2"/>
    <x v="0"/>
    <n v="1"/>
    <s v="PASS"/>
    <m/>
    <s v="ERP-2023-0076"/>
    <s v="ABV over-strength — blending adjustment applied"/>
  </r>
  <r>
    <s v="BTH-2023-0071"/>
    <x v="52"/>
    <x v="4"/>
    <x v="1"/>
    <s v="Maturation"/>
    <s v="OP-05"/>
    <x v="0"/>
    <s v="Night"/>
    <n v="898"/>
    <n v="4382.5"/>
    <n v="562.70000000000005"/>
    <n v="533.79999999999995"/>
    <n v="-28.9"/>
    <n v="-5.1400000000000001E-2"/>
    <n v="10.199999999999999"/>
    <n v="8.82"/>
    <n v="60.6"/>
    <n v="61.1"/>
    <n v="0"/>
    <x v="0"/>
    <n v="1"/>
    <s v="PASS"/>
    <m/>
    <s v="ERP-2023-0121"/>
    <m/>
  </r>
  <r>
    <s v="BTH-2023-0072"/>
    <x v="53"/>
    <x v="4"/>
    <x v="3"/>
    <s v="Bottling"/>
    <s v="OP-04"/>
    <x v="1"/>
    <s v="Day"/>
    <n v="870.4"/>
    <n v="4700.5"/>
    <n v="517.9"/>
    <n v="513"/>
    <n v="-4.9000000000000004"/>
    <n v="-9.4999999999999998E-3"/>
    <n v="11.2"/>
    <n v="15.2"/>
    <n v="60.2"/>
    <n v="60.8"/>
    <n v="3"/>
    <x v="0"/>
    <n v="0"/>
    <s v="FAIL"/>
    <m/>
    <s v="ERP-2023-0063"/>
    <s v="Extended downtime — operations manager notified"/>
  </r>
  <r>
    <s v="BTH-2023-0073"/>
    <x v="53"/>
    <x v="3"/>
    <x v="1"/>
    <s v="Maturation"/>
    <s v="OP-01"/>
    <x v="3"/>
    <s v="Day"/>
    <n v="470"/>
    <n v="1704.7"/>
    <n v="306.2"/>
    <n v="304.39999999999998"/>
    <n v="-1.8"/>
    <n v="-5.8999999999999999E-3"/>
    <n v="16.399999999999999"/>
    <n v="20.74"/>
    <n v="68.400000000000006"/>
    <n v="67.599999999999994"/>
    <n v="1"/>
    <x v="4"/>
    <n v="1"/>
    <s v="PASS"/>
    <m/>
    <s v="ERP-2023-0131"/>
    <m/>
  </r>
  <r>
    <s v="BTH-2023-0074"/>
    <x v="54"/>
    <x v="1"/>
    <x v="1"/>
    <s v="Mashing"/>
    <s v="OP-04"/>
    <x v="1"/>
    <s v="Day"/>
    <n v="884.4"/>
    <n v="4823"/>
    <n v="540.20000000000005"/>
    <n v="532.70000000000005"/>
    <n v="-7.5"/>
    <n v="-1.3899999999999999E-2"/>
    <n v="6.3"/>
    <n v="8.0299999999999994"/>
    <n v="66"/>
    <n v="68.400000000000006"/>
    <n v="1"/>
    <x v="0"/>
    <n v="1"/>
    <s v="PASS"/>
    <m/>
    <s v="ERP-2023-0003"/>
    <s v="ABV over-strength — blending adjustment applied"/>
  </r>
  <r>
    <s v="BTH-2023-0075"/>
    <x v="54"/>
    <x v="0"/>
    <x v="1"/>
    <s v="Bottling"/>
    <s v="OP-05"/>
    <x v="0"/>
    <s v="Day"/>
    <n v="1183.4000000000001"/>
    <n v="4669.8999999999996"/>
    <n v="735"/>
    <n v="661.5"/>
    <n v="-73.5"/>
    <n v="-0.1"/>
    <n v="17"/>
    <n v="17.13"/>
    <n v="61.2"/>
    <n v="62"/>
    <n v="0"/>
    <x v="0"/>
    <n v="1"/>
    <s v="PASS"/>
    <m/>
    <s v="ERP-2023-0133"/>
    <s v="Yield below threshold — reviewed with production lead"/>
  </r>
  <r>
    <s v="BTH-2023-0076"/>
    <x v="55"/>
    <x v="2"/>
    <x v="2"/>
    <s v="Distillation"/>
    <s v="OP-04"/>
    <x v="1"/>
    <s v="Day"/>
    <n v="469.6"/>
    <n v="1804.6"/>
    <n v="284.10000000000002"/>
    <n v="284.8"/>
    <n v="0.7"/>
    <n v="2.5000000000000001E-3"/>
    <n v="7.2"/>
    <n v="8.7200000000000006"/>
    <n v="68.599999999999994"/>
    <n v="68.3"/>
    <n v="0"/>
    <x v="0"/>
    <n v="1"/>
    <s v="PASS"/>
    <m/>
    <s v="ERP-2023-0106"/>
    <m/>
  </r>
  <r>
    <s v="BTH-2023-0077"/>
    <x v="56"/>
    <x v="2"/>
    <x v="1"/>
    <s v="Maturation"/>
    <s v="OP-04"/>
    <x v="1"/>
    <s v="Day"/>
    <n v="883"/>
    <n v="4074.8"/>
    <n v="595"/>
    <n v="599"/>
    <n v="4"/>
    <n v="6.7000000000000002E-3"/>
    <n v="4.3"/>
    <n v="5"/>
    <n v="63.4"/>
    <n v="61.5"/>
    <n v="0"/>
    <x v="0"/>
    <n v="1"/>
    <s v="PASS"/>
    <m/>
    <s v="ERP-2023-0037"/>
    <m/>
  </r>
  <r>
    <s v="BTH-2023-0078"/>
    <x v="57"/>
    <x v="2"/>
    <x v="4"/>
    <s v="Distillation"/>
    <s v="OP-01"/>
    <x v="3"/>
    <s v="Day"/>
    <n v="1112.0999999999999"/>
    <n v="5734.5"/>
    <n v="760"/>
    <n v="745.8"/>
    <n v="-14.2"/>
    <n v="-1.8700000000000001E-2"/>
    <n v="17"/>
    <n v="14.3"/>
    <n v="62.5"/>
    <n v="61.5"/>
    <n v="0"/>
    <x v="0"/>
    <n v="1"/>
    <s v="PASS"/>
    <m/>
    <s v="ERP-2023-0072"/>
    <m/>
  </r>
  <r>
    <s v="BTH-2023-0079"/>
    <x v="58"/>
    <x v="2"/>
    <x v="0"/>
    <s v="Fermentation"/>
    <s v="OP-04"/>
    <x v="1"/>
    <s v="Night"/>
    <n v="781"/>
    <n v="4027.9"/>
    <n v="475.6"/>
    <n v="495.7"/>
    <n v="20.100000000000001"/>
    <n v="4.2299999999999997E-2"/>
    <n v="4.2"/>
    <n v="4.5"/>
    <n v="61.7"/>
    <n v="64"/>
    <n v="0"/>
    <x v="0"/>
    <n v="0"/>
    <s v="FAIL"/>
    <m/>
    <s v="ERP-2023-0053"/>
    <s v="ABV over-strength — blending adjustment applied"/>
  </r>
  <r>
    <s v="BTH-2023-0080"/>
    <x v="59"/>
    <x v="1"/>
    <x v="4"/>
    <s v="Bottling"/>
    <s v="OP-02"/>
    <x v="2"/>
    <s v="Day"/>
    <n v="769.2"/>
    <n v="2967.6"/>
    <n v="497.2"/>
    <n v="452.5"/>
    <n v="-44.7"/>
    <n v="-8.9899999999999994E-2"/>
    <n v="13.5"/>
    <n v="11.51"/>
    <n v="63.2"/>
    <n v="60.9"/>
    <n v="1"/>
    <x v="3"/>
    <n v="0"/>
    <s v="FAIL"/>
    <m/>
    <s v="ERP-2023-0002"/>
    <s v="Yield below threshold — reviewed with production lead"/>
  </r>
  <r>
    <s v="BTH-2023-0081"/>
    <x v="59"/>
    <x v="0"/>
    <x v="4"/>
    <s v="Fermentation"/>
    <s v="OP-05"/>
    <x v="0"/>
    <s v="Night"/>
    <n v="797.3"/>
    <n v="3935.8"/>
    <n v="467.9"/>
    <n v="409.6"/>
    <n v="-58.3"/>
    <n v="-0.1246"/>
    <n v="17.8"/>
    <n v="18.850000000000001"/>
    <n v="68.900000000000006"/>
    <n v="71.3"/>
    <n v="1"/>
    <x v="0"/>
    <n v="0"/>
    <s v="FAIL"/>
    <m/>
    <s v="ERP-2023-0043"/>
    <s v="Yield below threshold — reviewed with production lead"/>
  </r>
  <r>
    <s v="BTH-2023-0082"/>
    <x v="60"/>
    <x v="1"/>
    <x v="4"/>
    <s v="Bottling"/>
    <s v="OP-02"/>
    <x v="2"/>
    <s v="Day"/>
    <n v="843"/>
    <n v="4160.6000000000004"/>
    <n v="488.7"/>
    <n v="510"/>
    <n v="21.3"/>
    <n v="4.36E-2"/>
    <n v="15.9"/>
    <n v="12.86"/>
    <n v="60.9"/>
    <n v="58.5"/>
    <n v="0"/>
    <x v="0"/>
    <n v="1"/>
    <s v="PASS"/>
    <m/>
    <s v="ERP-2023-0060"/>
    <s v="ABV under-strength — batch held pending QC review"/>
  </r>
  <r>
    <s v="BTH-2023-0083"/>
    <x v="60"/>
    <x v="4"/>
    <x v="2"/>
    <s v="Bottling"/>
    <s v="OP-05"/>
    <x v="0"/>
    <s v="Night"/>
    <n v="1097.8"/>
    <n v="4107.5"/>
    <n v="651.5"/>
    <n v="575.6"/>
    <n v="-75.900000000000006"/>
    <n v="-0.11650000000000001"/>
    <n v="13.4"/>
    <n v="13.6"/>
    <n v="66.099999999999994"/>
    <n v="68.599999999999994"/>
    <n v="0.5"/>
    <x v="0"/>
    <n v="1"/>
    <s v="PASS"/>
    <m/>
    <s v="ERP-2023-0097"/>
    <s v="Yield below threshold — reviewed with production lead"/>
  </r>
  <r>
    <s v="BTH-2023-0084"/>
    <x v="61"/>
    <x v="0"/>
    <x v="4"/>
    <s v="Distillation"/>
    <s v="OP-01"/>
    <x v="3"/>
    <s v="Night"/>
    <n v="537"/>
    <n v="1981.9"/>
    <n v="312.2"/>
    <n v="306.2"/>
    <n v="-6"/>
    <n v="-1.9199999999999998E-2"/>
    <n v="17"/>
    <n v="14.34"/>
    <n v="69.7"/>
    <n v="71.2"/>
    <n v="2"/>
    <x v="3"/>
    <n v="1"/>
    <s v="PASS"/>
    <m/>
    <s v="ERP-2023-0138"/>
    <m/>
  </r>
  <r>
    <s v="BTH-2023-0085"/>
    <x v="61"/>
    <x v="2"/>
    <x v="2"/>
    <s v="Bottling"/>
    <s v="OP-03"/>
    <x v="4"/>
    <s v="Day"/>
    <n v="1039.9000000000001"/>
    <n v="4010.6"/>
    <n v="717.4"/>
    <n v="698.3"/>
    <n v="-19.100000000000001"/>
    <n v="-2.6599999999999999E-2"/>
    <n v="4.2"/>
    <n v="4.8899999999999997"/>
    <n v="65.5"/>
    <n v="64.7"/>
    <n v="5"/>
    <x v="4"/>
    <n v="0"/>
    <s v="FAIL"/>
    <m/>
    <s v="ERP-2023-0185"/>
    <s v="Extended downtime — operations manager notified"/>
  </r>
  <r>
    <s v="BTH-2023-0086"/>
    <x v="62"/>
    <x v="3"/>
    <x v="2"/>
    <s v="Mashing"/>
    <s v="OP-05"/>
    <x v="0"/>
    <s v="Night"/>
    <n v="691.7"/>
    <n v="2773.2"/>
    <n v="469.9"/>
    <n v="479.7"/>
    <n v="9.8000000000000007"/>
    <n v="2.0899999999999998E-2"/>
    <n v="8.5"/>
    <n v="8.0399999999999991"/>
    <n v="68.3"/>
    <n v="66.099999999999994"/>
    <n v="0"/>
    <x v="0"/>
    <n v="0"/>
    <s v="FAIL"/>
    <m/>
    <s v="ERP-2023-0187"/>
    <s v="ABV under-strength — batch held pending QC review"/>
  </r>
  <r>
    <s v="BTH-2023-0087"/>
    <x v="63"/>
    <x v="0"/>
    <x v="2"/>
    <s v="Blending"/>
    <s v="OP-02"/>
    <x v="2"/>
    <s v="Day"/>
    <n v="1009.9"/>
    <n v="5169.7"/>
    <n v="649.1"/>
    <n v="646.70000000000005"/>
    <n v="-2.4"/>
    <n v="-3.7000000000000002E-3"/>
    <n v="17.100000000000001"/>
    <n v="22.78"/>
    <n v="61.5"/>
    <n v="59.4"/>
    <n v="3"/>
    <x v="3"/>
    <n v="0"/>
    <s v="FAIL"/>
    <m/>
    <s v="ERP-2023-0081"/>
    <s v="ABV under-strength — batch held pending QC review"/>
  </r>
  <r>
    <s v="BTH-2023-0088"/>
    <x v="64"/>
    <x v="1"/>
    <x v="3"/>
    <s v="Bottling"/>
    <s v="OP-04"/>
    <x v="1"/>
    <s v="Day"/>
    <n v="450.6"/>
    <n v="2413.8000000000002"/>
    <n v="309.5"/>
    <n v="313.89999999999998"/>
    <n v="4.4000000000000004"/>
    <n v="1.4200000000000001E-2"/>
    <n v="14.6"/>
    <n v="18.91"/>
    <n v="66.2"/>
    <n v="65.400000000000006"/>
    <n v="0"/>
    <x v="0"/>
    <n v="1"/>
    <s v="PASS"/>
    <m/>
    <s v="ERP-2023-0140"/>
    <m/>
  </r>
  <r>
    <s v="BTH-2023-0089"/>
    <x v="65"/>
    <x v="1"/>
    <x v="2"/>
    <s v="Bottling"/>
    <s v="OP-01"/>
    <x v="3"/>
    <s v="Day"/>
    <n v="865"/>
    <n v="3149.6"/>
    <n v="592.9"/>
    <n v="598.20000000000005"/>
    <n v="5.3"/>
    <n v="8.8999999999999999E-3"/>
    <n v="6.7"/>
    <n v="6.27"/>
    <n v="64.3"/>
    <n v="62.7"/>
    <n v="0"/>
    <x v="0"/>
    <n v="1"/>
    <s v="PASS"/>
    <m/>
    <s v="ERP-2023-0085"/>
    <m/>
  </r>
  <r>
    <s v="BTH-2023-0090"/>
    <x v="66"/>
    <x v="4"/>
    <x v="3"/>
    <s v="Mashing"/>
    <s v="OP-01"/>
    <x v="3"/>
    <s v="Night"/>
    <n v="496.4"/>
    <n v="1835.2"/>
    <n v="278"/>
    <n v="275.10000000000002"/>
    <n v="-2.9"/>
    <n v="-1.04E-2"/>
    <n v="15.4"/>
    <n v="15.69"/>
    <n v="66.7"/>
    <n v="66"/>
    <n v="0"/>
    <x v="0"/>
    <n v="1"/>
    <s v="PASS"/>
    <m/>
    <s v="ERP-2023-0194"/>
    <m/>
  </r>
  <r>
    <s v="BTH-2023-0091"/>
    <x v="67"/>
    <x v="3"/>
    <x v="4"/>
    <s v="Blending"/>
    <s v="OP-02"/>
    <x v="2"/>
    <s v="Day"/>
    <n v="1167.2"/>
    <n v="5517.5"/>
    <n v="680.2"/>
    <n v="670.5"/>
    <n v="-9.6999999999999993"/>
    <n v="-1.43E-2"/>
    <n v="16.399999999999999"/>
    <n v="13.74"/>
    <n v="66.400000000000006"/>
    <n v="65.8"/>
    <n v="0"/>
    <x v="0"/>
    <n v="1"/>
    <s v="PASS"/>
    <m/>
    <s v="ERP-2023-0145"/>
    <m/>
  </r>
  <r>
    <s v="BTH-2023-0092"/>
    <x v="68"/>
    <x v="3"/>
    <x v="0"/>
    <s v="Distillation"/>
    <s v="OP-01"/>
    <x v="3"/>
    <s v="Day"/>
    <n v="476.7"/>
    <n v="1832.6"/>
    <n v="283.60000000000002"/>
    <n v="290.60000000000002"/>
    <n v="7"/>
    <n v="2.47E-2"/>
    <n v="10.6"/>
    <n v="13.38"/>
    <n v="67.7"/>
    <n v="67.8"/>
    <n v="5"/>
    <x v="6"/>
    <n v="0"/>
    <s v="FAIL"/>
    <m/>
    <s v="ERP-2023-0179"/>
    <s v="Extended downtime — operations manager notified"/>
  </r>
  <r>
    <s v="BTH-2023-0093"/>
    <x v="69"/>
    <x v="1"/>
    <x v="3"/>
    <s v="Blending"/>
    <s v="OP-01"/>
    <x v="3"/>
    <s v="Night"/>
    <n v="862.5"/>
    <n v="4072.7"/>
    <n v="540.1"/>
    <n v="534"/>
    <n v="-6.1"/>
    <n v="-1.1299999999999999E-2"/>
    <n v="8.9"/>
    <n v="7.93"/>
    <n v="68.599999999999994"/>
    <n v="68.5"/>
    <n v="0"/>
    <x v="0"/>
    <n v="1"/>
    <s v="PASS"/>
    <m/>
    <s v="ERP-2023-0190"/>
    <m/>
  </r>
  <r>
    <s v="BTH-2023-0094"/>
    <x v="70"/>
    <x v="1"/>
    <x v="0"/>
    <s v="Bottling"/>
    <s v="OP-01"/>
    <x v="3"/>
    <s v="Night"/>
    <n v="1023.6"/>
    <n v="5200.3"/>
    <n v="578.29999999999995"/>
    <n v="571.4"/>
    <n v="-6.9"/>
    <n v="-1.1900000000000001E-2"/>
    <n v="17"/>
    <n v="20.63"/>
    <n v="64"/>
    <n v="65.599999999999994"/>
    <n v="0.5"/>
    <x v="0"/>
    <n v="1"/>
    <s v="PASS"/>
    <m/>
    <s v="ERP-2023-0157"/>
    <m/>
  </r>
  <r>
    <s v="BTH-2023-0095"/>
    <x v="71"/>
    <x v="3"/>
    <x v="1"/>
    <s v="Bottling"/>
    <s v="OP-04"/>
    <x v="1"/>
    <s v="Day"/>
    <n v="1061.3"/>
    <n v="5703.3"/>
    <n v="670.2"/>
    <n v="720.1"/>
    <n v="49.9"/>
    <n v="7.4499999999999997E-2"/>
    <n v="10.7"/>
    <n v="9.65"/>
    <n v="60.7"/>
    <n v="59.4"/>
    <n v="0.5"/>
    <x v="0"/>
    <n v="1"/>
    <s v="PASS"/>
    <m/>
    <s v="ERP-2023-0014"/>
    <m/>
  </r>
  <r>
    <s v="BTH-2023-0096"/>
    <x v="72"/>
    <x v="4"/>
    <x v="1"/>
    <s v="Fermentation"/>
    <s v="OP-04"/>
    <x v="1"/>
    <s v="Night"/>
    <n v="952.9"/>
    <n v="3594"/>
    <n v="602.4"/>
    <n v="595.9"/>
    <n v="-6.5"/>
    <n v="-1.0800000000000001E-2"/>
    <n v="13.6"/>
    <n v="14.86"/>
    <n v="66"/>
    <n v="66.2"/>
    <n v="2"/>
    <x v="0"/>
    <n v="1"/>
    <s v="PASS"/>
    <m/>
    <s v="ERP-2023-0050"/>
    <m/>
  </r>
  <r>
    <s v="BTH-2023-0097"/>
    <x v="73"/>
    <x v="4"/>
    <x v="1"/>
    <s v="Blending"/>
    <s v="OP-05"/>
    <x v="0"/>
    <s v="Day"/>
    <n v="985.3"/>
    <n v="4399.3"/>
    <n v="637.79999999999995"/>
    <n v="645.70000000000005"/>
    <n v="7.9"/>
    <n v="1.24E-2"/>
    <n v="10.4"/>
    <n v="13.71"/>
    <n v="61.7"/>
    <n v="63.8"/>
    <n v="0"/>
    <x v="0"/>
    <n v="1"/>
    <s v="PASS"/>
    <m/>
    <s v="ERP-2023-0067"/>
    <s v="ABV over-strength — blending adjustment applied"/>
  </r>
  <r>
    <s v="BTH-2023-0098"/>
    <x v="74"/>
    <x v="1"/>
    <x v="2"/>
    <s v="Fermentation"/>
    <s v="OP-04"/>
    <x v="1"/>
    <s v="Night"/>
    <n v="923.1"/>
    <n v="4684.2"/>
    <n v="583"/>
    <n v="585"/>
    <n v="2"/>
    <n v="3.3999999999999998E-3"/>
    <n v="7.6"/>
    <n v="8.84"/>
    <n v="63.3"/>
    <n v="65.7"/>
    <n v="0"/>
    <x v="0"/>
    <n v="0"/>
    <s v="FAIL"/>
    <m/>
    <s v="ERP-2023-0054"/>
    <s v="ABV over-strength — blending adjustment applied"/>
  </r>
  <r>
    <s v="BTH-2023-0099"/>
    <x v="75"/>
    <x v="4"/>
    <x v="3"/>
    <s v="Distillation"/>
    <s v="OP-05"/>
    <x v="0"/>
    <s v="Day"/>
    <n v="1041.5999999999999"/>
    <n v="4124.6000000000004"/>
    <n v="635.79999999999995"/>
    <n v="630.29999999999995"/>
    <n v="-5.5"/>
    <n v="-8.6999999999999994E-3"/>
    <n v="10.1"/>
    <n v="8.9600000000000009"/>
    <n v="60"/>
    <n v="61.1"/>
    <n v="5"/>
    <x v="0"/>
    <n v="1"/>
    <s v="PASS"/>
    <m/>
    <s v="ERP-2023-0034"/>
    <s v="Extended downtime — operations manager notified"/>
  </r>
  <r>
    <s v="BTH-2023-0100"/>
    <x v="76"/>
    <x v="4"/>
    <x v="4"/>
    <s v="Distillation"/>
    <s v="OP-01"/>
    <x v="3"/>
    <s v="Day"/>
    <n v="707.4"/>
    <n v="2717"/>
    <n v="393.6"/>
    <n v="398.7"/>
    <n v="5.0999999999999996"/>
    <n v="1.2999999999999999E-2"/>
    <n v="16.399999999999999"/>
    <n v="13.46"/>
    <n v="62"/>
    <n v="63.1"/>
    <n v="5"/>
    <x v="6"/>
    <n v="1"/>
    <s v="PASS"/>
    <m/>
    <s v="ERP-2023-0162"/>
    <s v="Extended downtime — operations manager notified"/>
  </r>
  <r>
    <s v="BTH-2023-0101"/>
    <x v="77"/>
    <x v="4"/>
    <x v="0"/>
    <s v="Bottling"/>
    <s v="OP-02"/>
    <x v="2"/>
    <s v="Day"/>
    <n v="1088.4000000000001"/>
    <n v="3853.4"/>
    <n v="608.9"/>
    <n v="605.6"/>
    <n v="-3.3"/>
    <n v="-5.4000000000000003E-3"/>
    <n v="11"/>
    <n v="14.01"/>
    <n v="66.7"/>
    <n v="67.5"/>
    <n v="0"/>
    <x v="0"/>
    <n v="1"/>
    <s v="PASS"/>
    <m/>
    <s v="ERP-2023-0135"/>
    <m/>
  </r>
  <r>
    <s v="BTH-2023-0102"/>
    <x v="78"/>
    <x v="2"/>
    <x v="1"/>
    <s v="Bottling"/>
    <s v="OP-01"/>
    <x v="3"/>
    <s v="Day"/>
    <n v="577.20000000000005"/>
    <n v="2772.4"/>
    <n v="375.6"/>
    <n v="372.5"/>
    <n v="-3.1"/>
    <n v="-8.3000000000000001E-3"/>
    <n v="17.100000000000001"/>
    <n v="19.86"/>
    <n v="61"/>
    <n v="59.5"/>
    <n v="0.5"/>
    <x v="4"/>
    <n v="1"/>
    <s v="PASS"/>
    <m/>
    <s v="ERP-2023-0118"/>
    <m/>
  </r>
  <r>
    <s v="BTH-2023-0103"/>
    <x v="79"/>
    <x v="4"/>
    <x v="1"/>
    <s v="Mashing"/>
    <s v="OP-02"/>
    <x v="2"/>
    <s v="Night"/>
    <n v="1049"/>
    <n v="3818.1"/>
    <n v="640.29999999999995"/>
    <n v="690.4"/>
    <n v="50.1"/>
    <n v="7.8200000000000006E-2"/>
    <n v="17"/>
    <n v="17.22"/>
    <n v="67.400000000000006"/>
    <n v="69.8"/>
    <n v="0"/>
    <x v="0"/>
    <n v="1"/>
    <s v="PASS"/>
    <m/>
    <s v="ERP-2023-0042"/>
    <s v="ABV over-strength — blending adjustment applied"/>
  </r>
  <r>
    <s v="BTH-2023-0104"/>
    <x v="79"/>
    <x v="4"/>
    <x v="1"/>
    <s v="Bottling"/>
    <s v="OP-04"/>
    <x v="1"/>
    <s v="Day"/>
    <n v="445.8"/>
    <n v="2266.6999999999998"/>
    <n v="315.60000000000002"/>
    <n v="311.10000000000002"/>
    <n v="-4.5"/>
    <n v="-1.43E-2"/>
    <n v="11.4"/>
    <n v="11.27"/>
    <n v="66"/>
    <n v="63.6"/>
    <n v="0"/>
    <x v="0"/>
    <n v="1"/>
    <s v="PASS"/>
    <m/>
    <s v="ERP-2023-0099"/>
    <s v="ABV under-strength — batch held pending QC review"/>
  </r>
  <r>
    <s v="BTH-2023-0105"/>
    <x v="79"/>
    <x v="0"/>
    <x v="1"/>
    <s v="Distillation"/>
    <s v="OP-02"/>
    <x v="2"/>
    <s v="Day"/>
    <n v="1090.7"/>
    <n v="4392.8999999999996"/>
    <n v="725.7"/>
    <n v="739.7"/>
    <n v="14"/>
    <n v="1.9300000000000001E-2"/>
    <n v="14.6"/>
    <n v="14.53"/>
    <n v="61.6"/>
    <n v="61"/>
    <n v="0"/>
    <x v="0"/>
    <n v="1"/>
    <s v="PASS"/>
    <m/>
    <s v="ERP-2023-0143"/>
    <m/>
  </r>
  <r>
    <s v="BTH-2023-0106"/>
    <x v="80"/>
    <x v="3"/>
    <x v="4"/>
    <s v="Fermentation"/>
    <s v="OP-05"/>
    <x v="0"/>
    <s v="Night"/>
    <n v="692.1"/>
    <n v="2679.9"/>
    <n v="384.9"/>
    <n v="348.9"/>
    <n v="-36"/>
    <n v="-9.35E-2"/>
    <n v="11.9"/>
    <n v="15.48"/>
    <n v="68.2"/>
    <n v="67.7"/>
    <n v="0"/>
    <x v="0"/>
    <n v="1"/>
    <s v="PASS"/>
    <m/>
    <s v="ERP-2023-0111"/>
    <s v="Yield below threshold — reviewed with production lead"/>
  </r>
  <r>
    <s v="BTH-2023-0107"/>
    <x v="80"/>
    <x v="1"/>
    <x v="2"/>
    <s v="Mashing"/>
    <s v="OP-04"/>
    <x v="1"/>
    <s v="Day"/>
    <n v="949.7"/>
    <n v="4324.2"/>
    <n v="542.79999999999995"/>
    <n v="580.9"/>
    <n v="38.1"/>
    <n v="7.0199999999999999E-2"/>
    <n v="17"/>
    <n v="19.41"/>
    <n v="60.6"/>
    <n v="58.3"/>
    <n v="1"/>
    <x v="0"/>
    <n v="1"/>
    <s v="PASS"/>
    <m/>
    <s v="ERP-2023-0147"/>
    <s v="ABV under-strength — batch held pending QC review"/>
  </r>
  <r>
    <s v="BTH-2023-0108"/>
    <x v="81"/>
    <x v="3"/>
    <x v="4"/>
    <s v="Distillation"/>
    <s v="OP-02"/>
    <x v="2"/>
    <s v="Day"/>
    <n v="571.70000000000005"/>
    <n v="2490.5"/>
    <n v="364"/>
    <n v="359.7"/>
    <n v="-4.3"/>
    <n v="-1.18E-2"/>
    <n v="16.3"/>
    <n v="17.399999999999999"/>
    <n v="62.3"/>
    <n v="63.6"/>
    <n v="1"/>
    <x v="3"/>
    <n v="1"/>
    <s v="PASS"/>
    <m/>
    <s v="ERP-2023-0059"/>
    <m/>
  </r>
  <r>
    <s v="BTH-2023-0109"/>
    <x v="82"/>
    <x v="2"/>
    <x v="3"/>
    <s v="Blending"/>
    <s v="OP-05"/>
    <x v="0"/>
    <s v="Day"/>
    <n v="1132.9000000000001"/>
    <n v="4867.8"/>
    <n v="663.2"/>
    <n v="659.2"/>
    <n v="-4"/>
    <n v="-6.0000000000000001E-3"/>
    <n v="14.4"/>
    <n v="14.44"/>
    <n v="66"/>
    <n v="67"/>
    <n v="0"/>
    <x v="0"/>
    <n v="1"/>
    <s v="PASS"/>
    <m/>
    <s v="ERP-2023-0030"/>
    <m/>
  </r>
  <r>
    <s v="BTH-2023-0110"/>
    <x v="83"/>
    <x v="3"/>
    <x v="3"/>
    <s v="Bottling"/>
    <s v="OP-04"/>
    <x v="1"/>
    <s v="Day"/>
    <n v="857.5"/>
    <n v="4485.5"/>
    <n v="511"/>
    <n v="524"/>
    <n v="13"/>
    <n v="2.5399999999999999E-2"/>
    <n v="16.399999999999999"/>
    <n v="17.920000000000002"/>
    <n v="65.3"/>
    <n v="63.3"/>
    <n v="0"/>
    <x v="0"/>
    <n v="1"/>
    <s v="PASS"/>
    <m/>
    <s v="ERP-2023-0129"/>
    <m/>
  </r>
  <r>
    <s v="BTH-2023-0111"/>
    <x v="84"/>
    <x v="2"/>
    <x v="0"/>
    <s v="Blending"/>
    <s v="OP-05"/>
    <x v="0"/>
    <s v="Day"/>
    <n v="662.1"/>
    <n v="2860"/>
    <n v="405"/>
    <n v="406.4"/>
    <n v="1.4"/>
    <n v="3.5000000000000001E-3"/>
    <n v="9.6999999999999993"/>
    <n v="9.43"/>
    <n v="65.900000000000006"/>
    <n v="64.7"/>
    <n v="0"/>
    <x v="0"/>
    <n v="1"/>
    <s v="PASS"/>
    <m/>
    <s v="ERP-2023-0173"/>
    <m/>
  </r>
  <r>
    <s v="BTH-2023-0112"/>
    <x v="85"/>
    <x v="3"/>
    <x v="4"/>
    <s v="Blending"/>
    <s v="OP-03"/>
    <x v="4"/>
    <s v="Night"/>
    <n v="689.1"/>
    <n v="3074.5"/>
    <n v="494.9"/>
    <n v="507"/>
    <n v="12.1"/>
    <n v="2.4400000000000002E-2"/>
    <n v="4.3"/>
    <n v="5.95"/>
    <n v="65"/>
    <n v="64.5"/>
    <n v="5"/>
    <x v="6"/>
    <n v="1"/>
    <s v="PASS"/>
    <m/>
    <s v="ERP-2023-0152"/>
    <s v="Extended downtime — operations manager notified"/>
  </r>
  <r>
    <s v="BTH-2023-0113"/>
    <x v="86"/>
    <x v="0"/>
    <x v="2"/>
    <s v="Bottling"/>
    <s v="OP-04"/>
    <x v="1"/>
    <s v="Day"/>
    <n v="646"/>
    <n v="3215.6"/>
    <n v="371.4"/>
    <n v="373.7"/>
    <n v="2.2999999999999998"/>
    <n v="6.1999999999999998E-3"/>
    <n v="17"/>
    <n v="15.96"/>
    <n v="69.2"/>
    <n v="70.7"/>
    <n v="0"/>
    <x v="0"/>
    <n v="1"/>
    <s v="PASS"/>
    <m/>
    <s v="ERP-2023-0018"/>
    <m/>
  </r>
  <r>
    <s v="BTH-2023-0114"/>
    <x v="87"/>
    <x v="3"/>
    <x v="0"/>
    <s v="Mashing"/>
    <s v="OP-05"/>
    <x v="0"/>
    <s v="Day"/>
    <n v="401"/>
    <n v="1652.5"/>
    <n v="266.39999999999998"/>
    <n v="263.3"/>
    <n v="-3.1"/>
    <n v="-1.1599999999999999E-2"/>
    <n v="15"/>
    <n v="16"/>
    <n v="62.1"/>
    <n v="63.3"/>
    <n v="5"/>
    <x v="0"/>
    <n v="0"/>
    <s v="FAIL"/>
    <m/>
    <s v="ERP-2023-0011"/>
    <s v="Extended downtime — operations manager notified"/>
  </r>
  <r>
    <s v="BTH-2023-0115"/>
    <x v="87"/>
    <x v="3"/>
    <x v="3"/>
    <s v="Blending"/>
    <s v="OP-04"/>
    <x v="1"/>
    <s v="Day"/>
    <n v="818"/>
    <n v="4164.6000000000004"/>
    <n v="463.3"/>
    <n v="464.1"/>
    <n v="0.8"/>
    <n v="1.6999999999999999E-3"/>
    <n v="8.9"/>
    <n v="8.51"/>
    <n v="62.1"/>
    <n v="62.9"/>
    <n v="5"/>
    <x v="0"/>
    <n v="1"/>
    <s v="PASS"/>
    <m/>
    <s v="ERP-2023-0168"/>
    <s v="Extended downtime — operations manager notified"/>
  </r>
  <r>
    <s v="BTH-2023-0116"/>
    <x v="88"/>
    <x v="1"/>
    <x v="0"/>
    <s v="Mashing"/>
    <s v="OP-03"/>
    <x v="4"/>
    <s v="Day"/>
    <n v="1199.3"/>
    <n v="4841.3999999999996"/>
    <n v="786.9"/>
    <n v="788.8"/>
    <n v="1.9"/>
    <n v="2.3999999999999998E-3"/>
    <n v="12.6"/>
    <n v="15.91"/>
    <n v="62.1"/>
    <n v="62.3"/>
    <n v="0"/>
    <x v="0"/>
    <n v="1"/>
    <s v="PASS"/>
    <m/>
    <s v="ERP-2023-0112"/>
    <m/>
  </r>
  <r>
    <s v="BTH-2023-0117"/>
    <x v="89"/>
    <x v="2"/>
    <x v="0"/>
    <s v="Mashing"/>
    <s v="OP-01"/>
    <x v="3"/>
    <s v="Night"/>
    <n v="977.9"/>
    <n v="3729.5"/>
    <n v="544.79999999999995"/>
    <n v="519.6"/>
    <n v="-25.2"/>
    <n v="-4.6300000000000001E-2"/>
    <n v="13.8"/>
    <n v="14.44"/>
    <n v="65.2"/>
    <n v="66.900000000000006"/>
    <n v="0"/>
    <x v="0"/>
    <n v="0"/>
    <s v="FAIL"/>
    <m/>
    <s v="ERP-2023-0165"/>
    <m/>
  </r>
  <r>
    <s v="BTH-2023-0118"/>
    <x v="90"/>
    <x v="4"/>
    <x v="2"/>
    <s v="Distillation"/>
    <s v="OP-05"/>
    <x v="0"/>
    <s v="Day"/>
    <n v="673.8"/>
    <n v="2901.1"/>
    <n v="424.9"/>
    <n v="391.7"/>
    <n v="-33.200000000000003"/>
    <n v="-7.8100000000000003E-2"/>
    <n v="14"/>
    <n v="16.510000000000002"/>
    <n v="61.3"/>
    <n v="60.6"/>
    <n v="0"/>
    <x v="0"/>
    <n v="0"/>
    <s v="FAIL"/>
    <m/>
    <s v="ERP-2023-0195"/>
    <m/>
  </r>
  <r>
    <s v="BTH-2023-0119"/>
    <x v="91"/>
    <x v="0"/>
    <x v="4"/>
    <s v="Blending"/>
    <s v="OP-02"/>
    <x v="2"/>
    <s v="Night"/>
    <n v="866.9"/>
    <n v="3449.9"/>
    <n v="525.79999999999995"/>
    <n v="533.5"/>
    <n v="7.7"/>
    <n v="1.46E-2"/>
    <n v="12.6"/>
    <n v="12.27"/>
    <n v="61.7"/>
    <n v="60"/>
    <n v="0"/>
    <x v="0"/>
    <n v="1"/>
    <s v="PASS"/>
    <m/>
    <s v="ERP-2023-0159"/>
    <m/>
  </r>
  <r>
    <s v="BTH-2023-0120"/>
    <x v="92"/>
    <x v="3"/>
    <x v="2"/>
    <s v="Blending"/>
    <s v="OP-02"/>
    <x v="2"/>
    <s v="Day"/>
    <n v="883.5"/>
    <n v="4818.1000000000004"/>
    <n v="635.20000000000005"/>
    <n v="625.5"/>
    <n v="-9.6999999999999993"/>
    <n v="-1.5299999999999999E-2"/>
    <n v="5.9"/>
    <n v="7.86"/>
    <n v="68.400000000000006"/>
    <n v="67.3"/>
    <n v="5"/>
    <x v="0"/>
    <n v="1"/>
    <s v="PASS"/>
    <m/>
    <s v="ERP-2023-0040"/>
    <s v="Extended downtime — operations manager notified"/>
  </r>
  <r>
    <s v="BTH-2023-0121"/>
    <x v="93"/>
    <x v="4"/>
    <x v="1"/>
    <s v="Bottling"/>
    <s v="OP-05"/>
    <x v="0"/>
    <s v="Night"/>
    <n v="1094.2"/>
    <n v="5921"/>
    <n v="683.6"/>
    <n v="671.8"/>
    <n v="-11.8"/>
    <n v="-1.7299999999999999E-2"/>
    <n v="9"/>
    <n v="8.6"/>
    <n v="62.9"/>
    <n v="61.9"/>
    <n v="0"/>
    <x v="0"/>
    <n v="1"/>
    <s v="PASS"/>
    <m/>
    <s v="ERP-2023-0089"/>
    <m/>
  </r>
  <r>
    <s v="BTH-2023-0122"/>
    <x v="94"/>
    <x v="1"/>
    <x v="2"/>
    <s v="Fermentation"/>
    <s v="OP-03"/>
    <x v="4"/>
    <s v="Day"/>
    <n v="480.8"/>
    <n v="2348"/>
    <n v="295.10000000000002"/>
    <n v="280.3"/>
    <n v="-14.8"/>
    <n v="-5.0200000000000002E-2"/>
    <n v="11.7"/>
    <n v="15.82"/>
    <n v="64.8"/>
    <n v="65.900000000000006"/>
    <n v="0"/>
    <x v="0"/>
    <n v="1"/>
    <s v="PASS"/>
    <m/>
    <s v="ERP-2023-0100"/>
    <m/>
  </r>
  <r>
    <s v="BTH-2023-0123"/>
    <x v="94"/>
    <x v="0"/>
    <x v="4"/>
    <s v="Maturation"/>
    <s v="OP-02"/>
    <x v="2"/>
    <s v="Night"/>
    <n v="736.6"/>
    <n v="2599.6999999999998"/>
    <n v="505.6"/>
    <n v="536.4"/>
    <n v="30.8"/>
    <n v="6.0900000000000003E-2"/>
    <n v="9.6"/>
    <n v="8.4600000000000009"/>
    <n v="62"/>
    <n v="62.7"/>
    <n v="0"/>
    <x v="0"/>
    <n v="1"/>
    <s v="PASS"/>
    <m/>
    <s v="ERP-2023-0110"/>
    <m/>
  </r>
  <r>
    <s v="BTH-2023-0124"/>
    <x v="95"/>
    <x v="1"/>
    <x v="1"/>
    <s v="Fermentation"/>
    <s v="OP-04"/>
    <x v="1"/>
    <s v="Night"/>
    <n v="1199.4000000000001"/>
    <n v="4421.3"/>
    <n v="858.6"/>
    <n v="838.9"/>
    <n v="-19.7"/>
    <n v="-2.29E-2"/>
    <n v="4.7"/>
    <n v="5.3"/>
    <n v="65.2"/>
    <n v="66.400000000000006"/>
    <n v="0"/>
    <x v="0"/>
    <n v="1"/>
    <s v="PASS"/>
    <m/>
    <s v="ERP-2023-0178"/>
    <m/>
  </r>
  <r>
    <s v="BTH-2023-0125"/>
    <x v="96"/>
    <x v="1"/>
    <x v="0"/>
    <s v="Fermentation"/>
    <s v="OP-01"/>
    <x v="3"/>
    <s v="Night"/>
    <n v="691.8"/>
    <n v="2666.3"/>
    <n v="473.6"/>
    <n v="497.9"/>
    <n v="24.3"/>
    <n v="5.1299999999999998E-2"/>
    <n v="16.5"/>
    <n v="18.77"/>
    <n v="69.5"/>
    <n v="69.400000000000006"/>
    <n v="3"/>
    <x v="1"/>
    <n v="1"/>
    <s v="PASS"/>
    <m/>
    <s v="ERP-2023-0184"/>
    <s v="Extended downtime — operations manager notified"/>
  </r>
  <r>
    <s v="BTH-2023-0126"/>
    <x v="97"/>
    <x v="3"/>
    <x v="0"/>
    <s v="Fermentation"/>
    <s v="OP-04"/>
    <x v="1"/>
    <s v="Day"/>
    <n v="732.5"/>
    <n v="2905.1"/>
    <n v="463.4"/>
    <n v="485.8"/>
    <n v="22.4"/>
    <n v="4.8300000000000003E-2"/>
    <n v="9.6999999999999993"/>
    <n v="10.3"/>
    <n v="69.8"/>
    <n v="68.599999999999994"/>
    <n v="5"/>
    <x v="6"/>
    <n v="1"/>
    <s v="PASS"/>
    <m/>
    <s v="ERP-2023-0120"/>
    <s v="Extended downtime — operations manager notified"/>
  </r>
  <r>
    <s v="BTH-2023-0127"/>
    <x v="97"/>
    <x v="0"/>
    <x v="1"/>
    <s v="Bottling"/>
    <s v="OP-04"/>
    <x v="1"/>
    <s v="Day"/>
    <n v="609.1"/>
    <n v="2157"/>
    <n v="415.9"/>
    <n v="441.5"/>
    <n v="25.6"/>
    <n v="6.1600000000000002E-2"/>
    <n v="12.6"/>
    <n v="10.59"/>
    <n v="64.599999999999994"/>
    <n v="64.400000000000006"/>
    <n v="0"/>
    <x v="0"/>
    <n v="1"/>
    <s v="PASS"/>
    <m/>
    <s v="ERP-2023-0139"/>
    <m/>
  </r>
  <r>
    <s v="BTH-2023-0128"/>
    <x v="98"/>
    <x v="3"/>
    <x v="3"/>
    <s v="Blending"/>
    <s v="OP-02"/>
    <x v="2"/>
    <s v="Day"/>
    <n v="598.70000000000005"/>
    <n v="3005.3"/>
    <n v="354.8"/>
    <n v="359.8"/>
    <n v="5"/>
    <n v="1.41E-2"/>
    <n v="11.5"/>
    <n v="15.67"/>
    <n v="64.900000000000006"/>
    <n v="64.5"/>
    <n v="2"/>
    <x v="0"/>
    <n v="1"/>
    <s v="PASS"/>
    <m/>
    <s v="ERP-2023-0001"/>
    <m/>
  </r>
  <r>
    <s v="BTH-2023-0129"/>
    <x v="99"/>
    <x v="1"/>
    <x v="4"/>
    <s v="Bottling"/>
    <s v="OP-02"/>
    <x v="2"/>
    <s v="Night"/>
    <n v="887.9"/>
    <n v="3316.2"/>
    <n v="594.1"/>
    <n v="593.70000000000005"/>
    <n v="-0.4"/>
    <n v="-6.9999999999999999E-4"/>
    <n v="7.7"/>
    <n v="8.61"/>
    <n v="64.400000000000006"/>
    <n v="63.9"/>
    <n v="0.5"/>
    <x v="3"/>
    <n v="1"/>
    <s v="PASS"/>
    <m/>
    <s v="ERP-2023-0183"/>
    <m/>
  </r>
  <r>
    <s v="BTH-2023-0130"/>
    <x v="100"/>
    <x v="4"/>
    <x v="1"/>
    <s v="Distillation"/>
    <s v="OP-03"/>
    <x v="4"/>
    <s v="Night"/>
    <n v="1165.9000000000001"/>
    <n v="6150.2"/>
    <n v="678.3"/>
    <n v="651.5"/>
    <n v="-26.8"/>
    <n v="-3.95E-2"/>
    <n v="15.1"/>
    <n v="15.76"/>
    <n v="62.9"/>
    <n v="60.4"/>
    <n v="0"/>
    <x v="0"/>
    <n v="1"/>
    <s v="PASS"/>
    <m/>
    <s v="ERP-2023-0123"/>
    <s v="ABV under-strength — batch held pending QC review"/>
  </r>
  <r>
    <s v="BTH-2023-0131"/>
    <x v="101"/>
    <x v="2"/>
    <x v="2"/>
    <s v="Distillation"/>
    <s v="OP-02"/>
    <x v="2"/>
    <s v="Day"/>
    <n v="471.6"/>
    <n v="2569.5"/>
    <n v="320.2"/>
    <n v="320"/>
    <n v="-0.2"/>
    <n v="-5.9999999999999995E-4"/>
    <n v="17.600000000000001"/>
    <n v="21.6"/>
    <n v="69.599999999999994"/>
    <n v="68.3"/>
    <n v="0"/>
    <x v="0"/>
    <n v="1"/>
    <s v="PASS"/>
    <m/>
    <s v="ERP-2023-0048"/>
    <m/>
  </r>
  <r>
    <s v="BTH-2023-0132"/>
    <x v="102"/>
    <x v="1"/>
    <x v="2"/>
    <s v="Fermentation"/>
    <s v="OP-04"/>
    <x v="1"/>
    <s v="Day"/>
    <n v="862.8"/>
    <n v="3352.6"/>
    <n v="543.4"/>
    <n v="546.5"/>
    <n v="3.1"/>
    <n v="5.7000000000000002E-3"/>
    <n v="8.8000000000000007"/>
    <n v="7.31"/>
    <n v="63.9"/>
    <n v="64.5"/>
    <n v="0"/>
    <x v="0"/>
    <n v="1"/>
    <s v="PASS"/>
    <m/>
    <s v="ERP-2023-0181"/>
    <m/>
  </r>
  <r>
    <s v="BTH-2023-0133"/>
    <x v="103"/>
    <x v="2"/>
    <x v="3"/>
    <s v="Maturation"/>
    <s v="OP-01"/>
    <x v="3"/>
    <s v="Night"/>
    <n v="540.9"/>
    <n v="1997.5"/>
    <n v="339.9"/>
    <n v="334"/>
    <n v="-5.9"/>
    <n v="-1.7399999999999999E-2"/>
    <n v="11.9"/>
    <n v="13.69"/>
    <n v="66.8"/>
    <n v="67.3"/>
    <n v="0"/>
    <x v="0"/>
    <n v="1"/>
    <s v="PASS"/>
    <m/>
    <s v="ERP-2023-0090"/>
    <m/>
  </r>
  <r>
    <s v="BTH-2023-0134"/>
    <x v="104"/>
    <x v="4"/>
    <x v="2"/>
    <s v="Bottling"/>
    <s v="OP-02"/>
    <x v="2"/>
    <s v="Night"/>
    <n v="484.6"/>
    <n v="2362.8000000000002"/>
    <n v="292.39999999999998"/>
    <n v="297"/>
    <n v="4.5999999999999996"/>
    <n v="1.5699999999999999E-2"/>
    <n v="14"/>
    <n v="14.42"/>
    <n v="64.400000000000006"/>
    <n v="66.7"/>
    <n v="0.5"/>
    <x v="0"/>
    <n v="0"/>
    <s v="FAIL"/>
    <m/>
    <s v="ERP-2023-0008"/>
    <s v="ABV over-strength — blending adjustment applied"/>
  </r>
  <r>
    <s v="BTH-2023-0135"/>
    <x v="105"/>
    <x v="4"/>
    <x v="4"/>
    <s v="Blending"/>
    <s v="OP-02"/>
    <x v="2"/>
    <s v="Day"/>
    <n v="1012.9"/>
    <n v="4438.6000000000004"/>
    <n v="624.29999999999995"/>
    <n v="607.4"/>
    <n v="-16.899999999999999"/>
    <n v="-2.7099999999999999E-2"/>
    <n v="10.5"/>
    <n v="9.2100000000000009"/>
    <n v="62.4"/>
    <n v="61.7"/>
    <n v="2"/>
    <x v="5"/>
    <n v="1"/>
    <s v="PASS"/>
    <m/>
    <s v="ERP-2023-0144"/>
    <m/>
  </r>
  <r>
    <s v="BTH-2023-0136"/>
    <x v="106"/>
    <x v="0"/>
    <x v="0"/>
    <s v="Mashing"/>
    <s v="OP-04"/>
    <x v="1"/>
    <s v="Night"/>
    <n v="1044"/>
    <n v="5210.5"/>
    <n v="729.9"/>
    <n v="782.8"/>
    <n v="52.9"/>
    <n v="7.2499999999999995E-2"/>
    <n v="9.5"/>
    <n v="13.21"/>
    <n v="63.5"/>
    <n v="62.6"/>
    <n v="0"/>
    <x v="0"/>
    <n v="1"/>
    <s v="PASS"/>
    <m/>
    <s v="ERP-2023-0098"/>
    <m/>
  </r>
  <r>
    <s v="BTH-2023-0137"/>
    <x v="107"/>
    <x v="3"/>
    <x v="4"/>
    <s v="Maturation"/>
    <s v="OP-02"/>
    <x v="2"/>
    <s v="Night"/>
    <n v="929.5"/>
    <n v="4245.6000000000004"/>
    <n v="626.1"/>
    <n v="635.6"/>
    <n v="9.5"/>
    <n v="1.52E-2"/>
    <n v="6.3"/>
    <n v="7.27"/>
    <n v="68.400000000000006"/>
    <n v="68.8"/>
    <n v="1"/>
    <x v="0"/>
    <n v="1"/>
    <s v="PASS"/>
    <m/>
    <s v="ERP-2023-0189"/>
    <m/>
  </r>
  <r>
    <s v="BTH-2023-0138"/>
    <x v="108"/>
    <x v="1"/>
    <x v="0"/>
    <s v="Distillation"/>
    <s v="OP-02"/>
    <x v="2"/>
    <s v="Day"/>
    <n v="721.9"/>
    <n v="2678.5"/>
    <n v="509"/>
    <n v="502.9"/>
    <n v="-6.1"/>
    <n v="-1.2E-2"/>
    <n v="15"/>
    <n v="20.54"/>
    <n v="64.599999999999994"/>
    <n v="65.5"/>
    <n v="1"/>
    <x v="4"/>
    <n v="1"/>
    <s v="PASS"/>
    <m/>
    <s v="ERP-2023-0127"/>
    <m/>
  </r>
  <r>
    <s v="BTH-2023-0139"/>
    <x v="109"/>
    <x v="1"/>
    <x v="3"/>
    <s v="Distillation"/>
    <s v="OP-05"/>
    <x v="0"/>
    <s v="Day"/>
    <n v="952.6"/>
    <n v="3426"/>
    <n v="588.5"/>
    <n v="581.20000000000005"/>
    <n v="-7.3"/>
    <n v="-1.24E-2"/>
    <n v="17.399999999999999"/>
    <n v="16.13"/>
    <n v="61.2"/>
    <n v="62.1"/>
    <n v="0"/>
    <x v="0"/>
    <n v="1"/>
    <s v="PASS"/>
    <m/>
    <s v="ERP-2023-0047"/>
    <m/>
  </r>
  <r>
    <s v="BTH-2023-0140"/>
    <x v="110"/>
    <x v="0"/>
    <x v="4"/>
    <s v="Bottling"/>
    <s v="OP-03"/>
    <x v="4"/>
    <s v="Day"/>
    <n v="1151.9000000000001"/>
    <n v="5579"/>
    <n v="818.2"/>
    <n v="841.1"/>
    <n v="22.9"/>
    <n v="2.8000000000000001E-2"/>
    <n v="8.1999999999999993"/>
    <n v="7.95"/>
    <n v="65.099999999999994"/>
    <n v="67.2"/>
    <n v="0"/>
    <x v="0"/>
    <n v="0"/>
    <s v="FAIL"/>
    <m/>
    <s v="ERP-2023-0161"/>
    <s v="ABV over-strength — blending adjustment applied"/>
  </r>
  <r>
    <s v="BTH-2023-0141"/>
    <x v="111"/>
    <x v="2"/>
    <x v="1"/>
    <s v="Mashing"/>
    <s v="OP-04"/>
    <x v="1"/>
    <s v="Night"/>
    <n v="825.2"/>
    <n v="4001.4"/>
    <n v="585.20000000000005"/>
    <n v="598.79999999999995"/>
    <n v="13.6"/>
    <n v="2.3199999999999998E-2"/>
    <n v="9.6999999999999993"/>
    <n v="7.87"/>
    <n v="62.2"/>
    <n v="60.9"/>
    <n v="3"/>
    <x v="0"/>
    <n v="1"/>
    <s v="PASS"/>
    <m/>
    <s v="ERP-2023-0074"/>
    <s v="Extended downtime — operations manager notified"/>
  </r>
  <r>
    <s v="BTH-2023-0142"/>
    <x v="111"/>
    <x v="1"/>
    <x v="1"/>
    <s v="Blending"/>
    <s v="OP-03"/>
    <x v="4"/>
    <s v="Day"/>
    <n v="895.6"/>
    <n v="3874.6"/>
    <n v="567.79999999999995"/>
    <n v="554.6"/>
    <n v="-13.2"/>
    <n v="-2.3199999999999998E-2"/>
    <n v="11.8"/>
    <n v="9.77"/>
    <n v="60.1"/>
    <n v="57.7"/>
    <n v="0"/>
    <x v="0"/>
    <n v="0"/>
    <s v="FAIL"/>
    <m/>
    <s v="ERP-2023-0130"/>
    <s v="ABV under-strength — batch held pending QC review"/>
  </r>
  <r>
    <s v="BTH-2023-0143"/>
    <x v="112"/>
    <x v="1"/>
    <x v="3"/>
    <s v="Maturation"/>
    <s v="OP-05"/>
    <x v="0"/>
    <s v="Night"/>
    <n v="493.8"/>
    <n v="2317.5"/>
    <n v="297.5"/>
    <n v="257.3"/>
    <n v="-40.200000000000003"/>
    <n v="-0.1351"/>
    <n v="4.0999999999999996"/>
    <n v="4.33"/>
    <n v="68.3"/>
    <n v="68.8"/>
    <n v="3"/>
    <x v="0"/>
    <n v="1"/>
    <s v="PASS"/>
    <m/>
    <s v="ERP-2023-0095"/>
    <s v="Yield below threshold — reviewed with production lead"/>
  </r>
  <r>
    <s v="BTH-2023-0144"/>
    <x v="112"/>
    <x v="4"/>
    <x v="1"/>
    <s v="Fermentation"/>
    <s v="OP-02"/>
    <x v="2"/>
    <s v="Night"/>
    <n v="444.2"/>
    <n v="2210.4"/>
    <n v="303.8"/>
    <n v="307.89999999999998"/>
    <n v="4.0999999999999996"/>
    <n v="1.35E-2"/>
    <n v="14.1"/>
    <n v="15.68"/>
    <n v="62.2"/>
    <n v="64.3"/>
    <n v="5"/>
    <x v="0"/>
    <n v="1"/>
    <s v="PASS"/>
    <m/>
    <s v="ERP-2023-0176"/>
    <s v="ABV over-strength — blending adjustment applied"/>
  </r>
  <r>
    <s v="BTH-2023-0145"/>
    <x v="113"/>
    <x v="0"/>
    <x v="3"/>
    <s v="Maturation"/>
    <s v="OP-05"/>
    <x v="0"/>
    <s v="Night"/>
    <n v="821.3"/>
    <n v="4290.8999999999996"/>
    <n v="550.29999999999995"/>
    <n v="561"/>
    <n v="10.7"/>
    <n v="1.9400000000000001E-2"/>
    <n v="12.2"/>
    <n v="12.82"/>
    <n v="63.6"/>
    <n v="63.2"/>
    <n v="0"/>
    <x v="0"/>
    <n v="1"/>
    <s v="PASS"/>
    <m/>
    <s v="ERP-2023-0125"/>
    <m/>
  </r>
  <r>
    <s v="BTH-2023-0146"/>
    <x v="114"/>
    <x v="1"/>
    <x v="2"/>
    <s v="Maturation"/>
    <s v="OP-03"/>
    <x v="4"/>
    <s v="Night"/>
    <n v="1191.5999999999999"/>
    <n v="5473.3"/>
    <n v="792.5"/>
    <n v="753.4"/>
    <n v="-39.1"/>
    <n v="-4.9299999999999997E-2"/>
    <n v="16.3"/>
    <n v="15.52"/>
    <n v="66.099999999999994"/>
    <n v="65.8"/>
    <n v="0.5"/>
    <x v="4"/>
    <n v="1"/>
    <s v="PASS"/>
    <m/>
    <s v="ERP-2023-0119"/>
    <m/>
  </r>
  <r>
    <s v="BTH-2023-0147"/>
    <x v="115"/>
    <x v="3"/>
    <x v="1"/>
    <s v="Fermentation"/>
    <s v="OP-05"/>
    <x v="0"/>
    <s v="Night"/>
    <n v="962.8"/>
    <n v="3708.4"/>
    <n v="611.1"/>
    <n v="623.79999999999995"/>
    <n v="12.7"/>
    <n v="2.0799999999999999E-2"/>
    <n v="10.3"/>
    <n v="9"/>
    <n v="69.5"/>
    <n v="67.2"/>
    <n v="0"/>
    <x v="0"/>
    <n v="0"/>
    <s v="FAIL"/>
    <m/>
    <s v="ERP-2023-0084"/>
    <s v="ABV under-strength — batch held pending QC review"/>
  </r>
  <r>
    <s v="BTH-2023-0148"/>
    <x v="115"/>
    <x v="1"/>
    <x v="4"/>
    <s v="Bottling"/>
    <s v="OP-04"/>
    <x v="1"/>
    <s v="Night"/>
    <n v="652.20000000000005"/>
    <n v="3438.5"/>
    <n v="430.4"/>
    <n v="423.8"/>
    <n v="-6.6"/>
    <n v="-1.5299999999999999E-2"/>
    <n v="4.7"/>
    <n v="6.02"/>
    <n v="64.400000000000006"/>
    <n v="62.6"/>
    <n v="5"/>
    <x v="0"/>
    <n v="0"/>
    <s v="FAIL"/>
    <m/>
    <s v="ERP-2023-0166"/>
    <s v="Extended downtime — operations manager notified"/>
  </r>
  <r>
    <s v="BTH-2023-0149"/>
    <x v="116"/>
    <x v="4"/>
    <x v="3"/>
    <s v="Mashing"/>
    <s v="OP-01"/>
    <x v="3"/>
    <s v="Night"/>
    <n v="784.4"/>
    <n v="4141.2"/>
    <n v="486.3"/>
    <n v="496.2"/>
    <n v="9.9"/>
    <n v="2.0400000000000001E-2"/>
    <n v="16.100000000000001"/>
    <n v="14.72"/>
    <n v="67"/>
    <n v="67.8"/>
    <n v="0"/>
    <x v="0"/>
    <n v="1"/>
    <s v="PASS"/>
    <m/>
    <s v="ERP-2023-0108"/>
    <m/>
  </r>
  <r>
    <s v="BTH-2023-0150"/>
    <x v="117"/>
    <x v="3"/>
    <x v="2"/>
    <s v="Mashing"/>
    <s v="OP-03"/>
    <x v="4"/>
    <s v="Day"/>
    <n v="1016.6"/>
    <n v="4328.3999999999996"/>
    <n v="581.20000000000005"/>
    <n v="585.9"/>
    <n v="4.7"/>
    <n v="8.0999999999999996E-3"/>
    <n v="5.9"/>
    <n v="7.41"/>
    <n v="68.5"/>
    <n v="69"/>
    <n v="1"/>
    <x v="6"/>
    <n v="1"/>
    <s v="PASS"/>
    <m/>
    <s v="ERP-2023-0068"/>
    <m/>
  </r>
  <r>
    <s v="BTH-2023-0151"/>
    <x v="117"/>
    <x v="1"/>
    <x v="1"/>
    <s v="Distillation"/>
    <s v="OP-04"/>
    <x v="1"/>
    <s v="Day"/>
    <n v="1082.3"/>
    <n v="5386"/>
    <n v="682.2"/>
    <n v="651.1"/>
    <n v="-31.1"/>
    <n v="-4.5600000000000002E-2"/>
    <n v="12.9"/>
    <n v="12.86"/>
    <n v="61.9"/>
    <n v="60.7"/>
    <n v="0.5"/>
    <x v="0"/>
    <n v="1"/>
    <s v="PASS"/>
    <m/>
    <s v="ERP-2023-0077"/>
    <m/>
  </r>
  <r>
    <s v="BTH-2023-0152"/>
    <x v="118"/>
    <x v="1"/>
    <x v="1"/>
    <s v="Distillation"/>
    <s v="OP-03"/>
    <x v="4"/>
    <s v="Day"/>
    <n v="842.9"/>
    <n v="4118.5"/>
    <n v="574.4"/>
    <n v="555.70000000000005"/>
    <n v="-18.7"/>
    <n v="-3.2599999999999997E-2"/>
    <n v="4.5"/>
    <n v="6.05"/>
    <n v="64.2"/>
    <n v="64.900000000000006"/>
    <n v="0"/>
    <x v="0"/>
    <n v="1"/>
    <s v="PASS"/>
    <m/>
    <s v="ERP-2023-0038"/>
    <m/>
  </r>
  <r>
    <s v="BTH-2023-0153"/>
    <x v="119"/>
    <x v="4"/>
    <x v="4"/>
    <s v="Mashing"/>
    <s v="OP-04"/>
    <x v="1"/>
    <s v="Night"/>
    <n v="570.29999999999995"/>
    <n v="2146"/>
    <n v="319.5"/>
    <n v="327.10000000000002"/>
    <n v="7.6"/>
    <n v="2.3800000000000002E-2"/>
    <n v="4.5"/>
    <n v="3.8"/>
    <n v="63.9"/>
    <n v="61.6"/>
    <n v="2"/>
    <x v="1"/>
    <n v="0"/>
    <s v="FAIL"/>
    <m/>
    <s v="ERP-2023-0096"/>
    <s v="ABV under-strength — batch held pending QC review"/>
  </r>
  <r>
    <s v="BTH-2023-0154"/>
    <x v="120"/>
    <x v="4"/>
    <x v="4"/>
    <s v="Distillation"/>
    <s v="OP-02"/>
    <x v="2"/>
    <s v="Night"/>
    <n v="978.8"/>
    <n v="5223.8999999999996"/>
    <n v="696.6"/>
    <n v="687.9"/>
    <n v="-8.6999999999999993"/>
    <n v="-1.2500000000000001E-2"/>
    <n v="4.5999999999999996"/>
    <n v="4.41"/>
    <n v="67"/>
    <n v="67.7"/>
    <n v="0"/>
    <x v="0"/>
    <n v="1"/>
    <s v="PASS"/>
    <m/>
    <s v="ERP-2023-0196"/>
    <m/>
  </r>
  <r>
    <s v="BTH-2023-0155"/>
    <x v="121"/>
    <x v="2"/>
    <x v="1"/>
    <s v="Distillation"/>
    <s v="OP-02"/>
    <x v="2"/>
    <s v="Day"/>
    <n v="729"/>
    <n v="3356.9"/>
    <n v="433.8"/>
    <n v="433.5"/>
    <n v="-0.3"/>
    <n v="-6.9999999999999999E-4"/>
    <n v="15.7"/>
    <n v="15.82"/>
    <n v="69"/>
    <n v="67.599999999999994"/>
    <n v="3"/>
    <x v="1"/>
    <n v="0"/>
    <s v="FAIL"/>
    <m/>
    <s v="ERP-2023-0041"/>
    <s v="Extended downtime — operations manager notified"/>
  </r>
  <r>
    <s v="BTH-2023-0156"/>
    <x v="121"/>
    <x v="3"/>
    <x v="1"/>
    <s v="Bottling"/>
    <s v="OP-01"/>
    <x v="3"/>
    <s v="Day"/>
    <n v="813.2"/>
    <n v="3689.4"/>
    <n v="530.79999999999995"/>
    <n v="546.5"/>
    <n v="15.7"/>
    <n v="2.9600000000000001E-2"/>
    <n v="12.1"/>
    <n v="15.46"/>
    <n v="64.599999999999994"/>
    <n v="66.400000000000006"/>
    <n v="0"/>
    <x v="0"/>
    <n v="1"/>
    <s v="PASS"/>
    <m/>
    <s v="ERP-2023-0158"/>
    <m/>
  </r>
  <r>
    <s v="BTH-2023-0157"/>
    <x v="122"/>
    <x v="3"/>
    <x v="0"/>
    <s v="Mashing"/>
    <s v="OP-01"/>
    <x v="3"/>
    <s v="Night"/>
    <n v="1030.0999999999999"/>
    <n v="4267.3"/>
    <n v="720.3"/>
    <n v="713.8"/>
    <n v="-6.5"/>
    <n v="-8.9999999999999993E-3"/>
    <n v="14.1"/>
    <n v="12.73"/>
    <n v="66.400000000000006"/>
    <n v="67.8"/>
    <n v="2"/>
    <x v="0"/>
    <n v="1"/>
    <s v="PASS"/>
    <m/>
    <s v="ERP-2023-0192"/>
    <m/>
  </r>
  <r>
    <s v="BTH-2023-0158"/>
    <x v="123"/>
    <x v="4"/>
    <x v="3"/>
    <s v="Distillation"/>
    <s v="OP-04"/>
    <x v="1"/>
    <s v="Night"/>
    <n v="1090.9000000000001"/>
    <n v="5440.4"/>
    <n v="620.9"/>
    <n v="620"/>
    <n v="-0.9"/>
    <n v="-1.4E-3"/>
    <n v="8.6999999999999993"/>
    <n v="11.46"/>
    <n v="67.3"/>
    <n v="66.7"/>
    <n v="1"/>
    <x v="6"/>
    <n v="1"/>
    <s v="PASS"/>
    <m/>
    <s v="ERP-2023-0117"/>
    <m/>
  </r>
  <r>
    <s v="BTH-2023-0159"/>
    <x v="124"/>
    <x v="2"/>
    <x v="1"/>
    <s v="Bottling"/>
    <s v="OP-05"/>
    <x v="0"/>
    <s v="Night"/>
    <n v="560.20000000000005"/>
    <n v="1983.8"/>
    <n v="318.10000000000002"/>
    <n v="321"/>
    <n v="2.9"/>
    <n v="9.1000000000000004E-3"/>
    <n v="17.5"/>
    <n v="18.38"/>
    <n v="63.7"/>
    <n v="64"/>
    <n v="5"/>
    <x v="0"/>
    <n v="0"/>
    <s v="FAIL"/>
    <m/>
    <s v="ERP-2023-0012"/>
    <s v="Extended downtime — operations manager notified"/>
  </r>
  <r>
    <s v="BTH-2023-0160"/>
    <x v="124"/>
    <x v="4"/>
    <x v="2"/>
    <s v="Bottling"/>
    <s v="OP-05"/>
    <x v="0"/>
    <s v="Day"/>
    <n v="994.7"/>
    <n v="3707.4"/>
    <n v="568.29999999999995"/>
    <n v="549.70000000000005"/>
    <n v="-18.600000000000001"/>
    <n v="-3.27E-2"/>
    <n v="4.5"/>
    <n v="4.9800000000000004"/>
    <n v="63.8"/>
    <n v="63.1"/>
    <n v="5"/>
    <x v="2"/>
    <n v="1"/>
    <s v="PASS"/>
    <m/>
    <s v="ERP-2023-0017"/>
    <s v="Extended downtime — operations manager notified"/>
  </r>
  <r>
    <s v="BTH-2023-0161"/>
    <x v="124"/>
    <x v="1"/>
    <x v="1"/>
    <s v="Maturation"/>
    <s v="OP-05"/>
    <x v="0"/>
    <s v="Night"/>
    <n v="985.9"/>
    <n v="4335.2"/>
    <n v="666.8"/>
    <n v="642.29999999999995"/>
    <n v="-24.5"/>
    <n v="-3.6700000000000003E-2"/>
    <n v="7.5"/>
    <n v="7.68"/>
    <n v="63.8"/>
    <n v="61.7"/>
    <n v="1"/>
    <x v="3"/>
    <n v="1"/>
    <s v="PASS"/>
    <m/>
    <s v="ERP-2023-0073"/>
    <s v="ABV under-strength — batch held pending QC review"/>
  </r>
  <r>
    <s v="BTH-2023-0162"/>
    <x v="125"/>
    <x v="0"/>
    <x v="3"/>
    <s v="Maturation"/>
    <s v="OP-02"/>
    <x v="2"/>
    <s v="Night"/>
    <n v="1106.5999999999999"/>
    <n v="5328.7"/>
    <n v="717.5"/>
    <n v="657.2"/>
    <n v="-60.3"/>
    <n v="-8.4000000000000005E-2"/>
    <n v="7.1"/>
    <n v="8.52"/>
    <n v="69.900000000000006"/>
    <n v="67.5"/>
    <n v="0"/>
    <x v="0"/>
    <n v="0"/>
    <s v="FAIL"/>
    <m/>
    <s v="ERP-2023-0031"/>
    <s v="Yield below threshold — reviewed with production lead"/>
  </r>
  <r>
    <s v="BTH-2023-0163"/>
    <x v="126"/>
    <x v="3"/>
    <x v="0"/>
    <s v="Distillation"/>
    <s v="OP-02"/>
    <x v="2"/>
    <s v="Night"/>
    <n v="1055.0999999999999"/>
    <n v="4668.3"/>
    <n v="626.1"/>
    <n v="646.70000000000005"/>
    <n v="20.6"/>
    <n v="3.2899999999999999E-2"/>
    <n v="6.9"/>
    <n v="5.88"/>
    <n v="63.8"/>
    <n v="64"/>
    <n v="5"/>
    <x v="0"/>
    <n v="1"/>
    <s v="PASS"/>
    <m/>
    <s v="ERP-2023-0071"/>
    <s v="Extended downtime — operations manager notified"/>
  </r>
  <r>
    <s v="BTH-2023-0164"/>
    <x v="127"/>
    <x v="3"/>
    <x v="1"/>
    <s v="Mashing"/>
    <s v="OP-02"/>
    <x v="2"/>
    <s v="Day"/>
    <n v="1019.2"/>
    <n v="4327.8"/>
    <n v="614.9"/>
    <n v="545.9"/>
    <n v="-69"/>
    <n v="-0.11219999999999999"/>
    <n v="8.1999999999999993"/>
    <n v="7.34"/>
    <n v="69.400000000000006"/>
    <n v="71.3"/>
    <n v="1"/>
    <x v="4"/>
    <n v="0"/>
    <s v="FAIL"/>
    <m/>
    <s v="ERP-2023-0019"/>
    <s v="Yield below threshold — reviewed with production lead"/>
  </r>
  <r>
    <s v="BTH-2023-0165"/>
    <x v="127"/>
    <x v="2"/>
    <x v="3"/>
    <s v="Bottling"/>
    <s v="OP-04"/>
    <x v="1"/>
    <s v="Night"/>
    <n v="563.70000000000005"/>
    <n v="2243.8000000000002"/>
    <n v="350.7"/>
    <n v="325.3"/>
    <n v="-25.4"/>
    <n v="-7.2400000000000006E-2"/>
    <n v="5"/>
    <n v="6.05"/>
    <n v="66.3"/>
    <n v="65.900000000000006"/>
    <n v="0"/>
    <x v="0"/>
    <n v="0"/>
    <s v="FAIL"/>
    <m/>
    <s v="ERP-2023-0156"/>
    <m/>
  </r>
  <r>
    <s v="BTH-2023-0166"/>
    <x v="128"/>
    <x v="1"/>
    <x v="1"/>
    <s v="Fermentation"/>
    <s v="OP-04"/>
    <x v="1"/>
    <s v="Night"/>
    <n v="542"/>
    <n v="2172.4"/>
    <n v="375.6"/>
    <n v="375.8"/>
    <n v="0.2"/>
    <n v="5.0000000000000001E-4"/>
    <n v="17.899999999999999"/>
    <n v="24.61"/>
    <n v="63"/>
    <n v="60.5"/>
    <n v="0"/>
    <x v="0"/>
    <n v="1"/>
    <s v="PASS"/>
    <m/>
    <s v="ERP-2023-0045"/>
    <s v="ABV under-strength — batch held pending QC review"/>
  </r>
  <r>
    <s v="BTH-2023-0167"/>
    <x v="129"/>
    <x v="2"/>
    <x v="2"/>
    <s v="Fermentation"/>
    <s v="OP-03"/>
    <x v="4"/>
    <s v="Day"/>
    <n v="527.4"/>
    <n v="2256.5"/>
    <n v="352.5"/>
    <n v="348.9"/>
    <n v="-3.6"/>
    <n v="-1.0200000000000001E-2"/>
    <n v="4.8"/>
    <n v="6.6"/>
    <n v="63.5"/>
    <n v="61.7"/>
    <n v="0"/>
    <x v="0"/>
    <n v="0"/>
    <s v="FAIL"/>
    <m/>
    <s v="ERP-2023-0026"/>
    <m/>
  </r>
  <r>
    <s v="BTH-2023-0168"/>
    <x v="130"/>
    <x v="2"/>
    <x v="1"/>
    <s v="Distillation"/>
    <s v="OP-02"/>
    <x v="2"/>
    <s v="Night"/>
    <n v="659.1"/>
    <n v="3216.1"/>
    <n v="365.3"/>
    <n v="390.7"/>
    <n v="25.4"/>
    <n v="6.9500000000000006E-2"/>
    <n v="14.5"/>
    <n v="17.739999999999998"/>
    <n v="69"/>
    <n v="67.5"/>
    <n v="0"/>
    <x v="0"/>
    <n v="1"/>
    <s v="PASS"/>
    <m/>
    <s v="ERP-2023-0070"/>
    <m/>
  </r>
  <r>
    <s v="BTH-2023-0169"/>
    <x v="130"/>
    <x v="2"/>
    <x v="4"/>
    <s v="Mashing"/>
    <s v="OP-02"/>
    <x v="2"/>
    <s v="Day"/>
    <n v="798.9"/>
    <n v="3041.6"/>
    <n v="461.6"/>
    <n v="460"/>
    <n v="-1.6"/>
    <n v="-3.5000000000000001E-3"/>
    <n v="10.6"/>
    <n v="9.18"/>
    <n v="70"/>
    <n v="70.5"/>
    <n v="5"/>
    <x v="0"/>
    <n v="1"/>
    <s v="PASS"/>
    <m/>
    <s v="ERP-2023-0078"/>
    <s v="Extended downtime — operations manager notified"/>
  </r>
  <r>
    <s v="BTH-2023-0170"/>
    <x v="131"/>
    <x v="2"/>
    <x v="3"/>
    <s v="Distillation"/>
    <s v="OP-04"/>
    <x v="1"/>
    <s v="Day"/>
    <n v="1167.5"/>
    <n v="5762.6"/>
    <n v="675.5"/>
    <n v="598.1"/>
    <n v="-77.400000000000006"/>
    <n v="-0.11459999999999999"/>
    <n v="8.4"/>
    <n v="10.42"/>
    <n v="62.7"/>
    <n v="64.5"/>
    <n v="2"/>
    <x v="0"/>
    <n v="0"/>
    <s v="FAIL"/>
    <m/>
    <s v="ERP-2023-0177"/>
    <s v="Yield below threshold — reviewed with production lead"/>
  </r>
  <r>
    <s v="BTH-2023-0171"/>
    <x v="131"/>
    <x v="1"/>
    <x v="4"/>
    <s v="Bottling"/>
    <s v="OP-02"/>
    <x v="2"/>
    <s v="Night"/>
    <n v="867.6"/>
    <n v="3527.1"/>
    <n v="599.5"/>
    <n v="571.29999999999995"/>
    <n v="-28.2"/>
    <n v="-4.7E-2"/>
    <n v="7.1"/>
    <n v="5.83"/>
    <n v="68.8"/>
    <n v="69.099999999999994"/>
    <n v="0"/>
    <x v="0"/>
    <n v="1"/>
    <s v="PASS"/>
    <m/>
    <s v="ERP-2023-0180"/>
    <m/>
  </r>
  <r>
    <s v="BTH-2023-0172"/>
    <x v="132"/>
    <x v="4"/>
    <x v="2"/>
    <s v="Bottling"/>
    <s v="OP-01"/>
    <x v="3"/>
    <s v="Day"/>
    <n v="718.3"/>
    <n v="3578.5"/>
    <n v="405.1"/>
    <n v="407.8"/>
    <n v="2.7"/>
    <n v="6.7000000000000002E-3"/>
    <n v="6"/>
    <n v="5.62"/>
    <n v="67.5"/>
    <n v="69.099999999999994"/>
    <n v="0"/>
    <x v="0"/>
    <n v="0"/>
    <s v="FAIL"/>
    <m/>
    <s v="ERP-2023-0105"/>
    <m/>
  </r>
  <r>
    <s v="BTH-2023-0173"/>
    <x v="133"/>
    <x v="0"/>
    <x v="3"/>
    <s v="Bottling"/>
    <s v="OP-02"/>
    <x v="2"/>
    <s v="Day"/>
    <n v="812.2"/>
    <n v="3356.3"/>
    <n v="536.70000000000005"/>
    <n v="528.9"/>
    <n v="-7.8"/>
    <n v="-1.4500000000000001E-2"/>
    <n v="16"/>
    <n v="16.8"/>
    <n v="62.1"/>
    <n v="59.8"/>
    <n v="0.5"/>
    <x v="1"/>
    <n v="1"/>
    <s v="PASS"/>
    <m/>
    <s v="ERP-2023-0062"/>
    <s v="ABV under-strength — batch held pending QC review"/>
  </r>
  <r>
    <s v="BTH-2023-0174"/>
    <x v="134"/>
    <x v="0"/>
    <x v="0"/>
    <s v="Distillation"/>
    <s v="OP-01"/>
    <x v="3"/>
    <s v="Day"/>
    <n v="949.2"/>
    <n v="4403.5"/>
    <n v="659"/>
    <n v="695.2"/>
    <n v="36.200000000000003"/>
    <n v="5.4899999999999997E-2"/>
    <n v="5.9"/>
    <n v="6.75"/>
    <n v="67"/>
    <n v="65.2"/>
    <n v="0"/>
    <x v="0"/>
    <n v="0"/>
    <s v="FAIL"/>
    <m/>
    <s v="ERP-2023-0044"/>
    <m/>
  </r>
  <r>
    <s v="BTH-2023-0175"/>
    <x v="135"/>
    <x v="3"/>
    <x v="3"/>
    <s v="Fermentation"/>
    <s v="OP-05"/>
    <x v="0"/>
    <s v="Day"/>
    <n v="1133.8"/>
    <n v="4425.8999999999996"/>
    <n v="784.7"/>
    <n v="791.4"/>
    <n v="6.7"/>
    <n v="8.5000000000000006E-3"/>
    <n v="13.3"/>
    <n v="18.350000000000001"/>
    <n v="65.8"/>
    <n v="67.599999999999994"/>
    <n v="0"/>
    <x v="0"/>
    <n v="0"/>
    <s v="FAIL"/>
    <m/>
    <s v="ERP-2023-0155"/>
    <m/>
  </r>
  <r>
    <s v="BTH-2023-0176"/>
    <x v="136"/>
    <x v="0"/>
    <x v="2"/>
    <s v="Distillation"/>
    <s v="OP-05"/>
    <x v="0"/>
    <s v="Day"/>
    <n v="570.1"/>
    <n v="2753.8"/>
    <n v="364.1"/>
    <n v="361.6"/>
    <n v="-2.5"/>
    <n v="-6.8999999999999999E-3"/>
    <n v="14.9"/>
    <n v="13.01"/>
    <n v="60.2"/>
    <n v="60.2"/>
    <n v="5"/>
    <x v="0"/>
    <n v="0"/>
    <s v="FAIL"/>
    <m/>
    <s v="ERP-2023-0029"/>
    <s v="Extended downtime — operations manager notified"/>
  </r>
  <r>
    <s v="BTH-2023-0177"/>
    <x v="136"/>
    <x v="1"/>
    <x v="1"/>
    <s v="Distillation"/>
    <s v="OP-05"/>
    <x v="0"/>
    <s v="Night"/>
    <n v="503.9"/>
    <n v="2540.1999999999998"/>
    <n v="360.6"/>
    <n v="370.2"/>
    <n v="9.6"/>
    <n v="2.6599999999999999E-2"/>
    <n v="14.5"/>
    <n v="18.13"/>
    <n v="67.900000000000006"/>
    <n v="68.400000000000006"/>
    <n v="0"/>
    <x v="0"/>
    <n v="1"/>
    <s v="PASS"/>
    <m/>
    <s v="ERP-2023-0064"/>
    <m/>
  </r>
  <r>
    <s v="BTH-2023-0178"/>
    <x v="137"/>
    <x v="2"/>
    <x v="2"/>
    <s v="Blending"/>
    <s v="OP-04"/>
    <x v="1"/>
    <s v="Night"/>
    <n v="679.7"/>
    <n v="3440.4"/>
    <n v="386.1"/>
    <n v="397.4"/>
    <n v="11.3"/>
    <n v="2.93E-2"/>
    <n v="13.8"/>
    <n v="14.75"/>
    <n v="61.7"/>
    <n v="63"/>
    <n v="5"/>
    <x v="6"/>
    <n v="1"/>
    <s v="PASS"/>
    <m/>
    <s v="ERP-2023-0174"/>
    <s v="Extended downtime — operations manager notified"/>
  </r>
  <r>
    <s v="BTH-2023-0179"/>
    <x v="138"/>
    <x v="3"/>
    <x v="3"/>
    <s v="Distillation"/>
    <s v="OP-03"/>
    <x v="4"/>
    <s v="Night"/>
    <n v="1068.8"/>
    <n v="5141.2"/>
    <n v="607.20000000000005"/>
    <n v="625.70000000000005"/>
    <n v="18.5"/>
    <n v="3.0499999999999999E-2"/>
    <n v="11.5"/>
    <n v="16.079999999999998"/>
    <n v="62.5"/>
    <n v="62.4"/>
    <n v="0"/>
    <x v="0"/>
    <n v="1"/>
    <s v="PASS"/>
    <m/>
    <s v="ERP-2023-0197"/>
    <m/>
  </r>
  <r>
    <s v="BTH-2023-0180"/>
    <x v="139"/>
    <x v="0"/>
    <x v="1"/>
    <s v="Fermentation"/>
    <s v="OP-04"/>
    <x v="1"/>
    <s v="Day"/>
    <n v="1033.5"/>
    <n v="3941.8"/>
    <n v="660.1"/>
    <n v="629.20000000000005"/>
    <n v="-30.9"/>
    <n v="-4.6800000000000001E-2"/>
    <n v="12.9"/>
    <n v="15.89"/>
    <n v="63.3"/>
    <n v="63.2"/>
    <n v="0"/>
    <x v="0"/>
    <n v="1"/>
    <s v="PASS"/>
    <m/>
    <s v="ERP-2023-0128"/>
    <m/>
  </r>
  <r>
    <s v="BTH-2023-0181"/>
    <x v="140"/>
    <x v="1"/>
    <x v="4"/>
    <s v="Bottling"/>
    <s v="OP-02"/>
    <x v="2"/>
    <s v="Night"/>
    <n v="631.1"/>
    <n v="2549.3000000000002"/>
    <n v="404.2"/>
    <n v="409.1"/>
    <n v="4.9000000000000004"/>
    <n v="1.21E-2"/>
    <n v="8.6999999999999993"/>
    <n v="6.97"/>
    <n v="68.5"/>
    <n v="70.400000000000006"/>
    <n v="0"/>
    <x v="0"/>
    <n v="1"/>
    <s v="PASS"/>
    <m/>
    <s v="ERP-2023-0093"/>
    <m/>
  </r>
  <r>
    <s v="BTH-2023-0182"/>
    <x v="141"/>
    <x v="4"/>
    <x v="4"/>
    <s v="Distillation"/>
    <s v="OP-05"/>
    <x v="0"/>
    <s v="Night"/>
    <n v="1060.0999999999999"/>
    <n v="3978.2"/>
    <n v="752.7"/>
    <n v="739.7"/>
    <n v="-13"/>
    <n v="-1.7299999999999999E-2"/>
    <n v="14.3"/>
    <n v="17.600000000000001"/>
    <n v="67.8"/>
    <n v="66.099999999999994"/>
    <n v="0"/>
    <x v="0"/>
    <n v="1"/>
    <s v="PASS"/>
    <m/>
    <s v="ERP-2023-0005"/>
    <m/>
  </r>
  <r>
    <s v="BTH-2023-0183"/>
    <x v="142"/>
    <x v="2"/>
    <x v="4"/>
    <s v="Blending"/>
    <s v="OP-05"/>
    <x v="0"/>
    <s v="Night"/>
    <n v="495.1"/>
    <n v="2292.6"/>
    <n v="295.10000000000002"/>
    <n v="300.39999999999998"/>
    <n v="5.3"/>
    <n v="1.7999999999999999E-2"/>
    <n v="8.6"/>
    <n v="8.19"/>
    <n v="63.5"/>
    <n v="61.1"/>
    <n v="3"/>
    <x v="2"/>
    <n v="1"/>
    <s v="PASS"/>
    <m/>
    <s v="ERP-2023-0122"/>
    <s v="ABV under-strength — batch held pending QC review"/>
  </r>
  <r>
    <s v="BTH-2023-0184"/>
    <x v="143"/>
    <x v="0"/>
    <x v="3"/>
    <s v="Blending"/>
    <s v="OP-05"/>
    <x v="0"/>
    <s v="Day"/>
    <n v="970"/>
    <n v="4064"/>
    <n v="582.29999999999995"/>
    <n v="592.9"/>
    <n v="10.6"/>
    <n v="1.8200000000000001E-2"/>
    <n v="4.4000000000000004"/>
    <n v="4.41"/>
    <n v="61.1"/>
    <n v="59.6"/>
    <n v="0"/>
    <x v="0"/>
    <n v="1"/>
    <s v="PASS"/>
    <m/>
    <s v="ERP-2023-0092"/>
    <m/>
  </r>
  <r>
    <s v="BTH-2023-0185"/>
    <x v="144"/>
    <x v="1"/>
    <x v="1"/>
    <s v="Mashing"/>
    <s v="OP-01"/>
    <x v="3"/>
    <s v="Night"/>
    <n v="457.6"/>
    <n v="1676.2"/>
    <n v="267.39999999999998"/>
    <n v="273.60000000000002"/>
    <n v="6.2"/>
    <n v="2.3199999999999998E-2"/>
    <n v="17.7"/>
    <n v="23.27"/>
    <n v="60.5"/>
    <n v="58.7"/>
    <n v="0"/>
    <x v="0"/>
    <n v="0"/>
    <s v="FAIL"/>
    <m/>
    <s v="ERP-2023-0056"/>
    <m/>
  </r>
  <r>
    <s v="BTH-2023-0186"/>
    <x v="145"/>
    <x v="3"/>
    <x v="3"/>
    <s v="Maturation"/>
    <s v="OP-03"/>
    <x v="4"/>
    <s v="Day"/>
    <n v="676.3"/>
    <n v="3269.3"/>
    <n v="451.8"/>
    <n v="469.7"/>
    <n v="17.899999999999999"/>
    <n v="3.9600000000000003E-2"/>
    <n v="13.3"/>
    <n v="12.01"/>
    <n v="66.400000000000006"/>
    <n v="67.2"/>
    <n v="5"/>
    <x v="2"/>
    <n v="0"/>
    <s v="FAIL"/>
    <m/>
    <s v="ERP-2023-0010"/>
    <s v="Extended downtime — operations manager notified"/>
  </r>
  <r>
    <s v="BTH-2023-0187"/>
    <x v="146"/>
    <x v="4"/>
    <x v="0"/>
    <s v="Maturation"/>
    <s v="OP-01"/>
    <x v="3"/>
    <s v="Day"/>
    <n v="673.9"/>
    <n v="2880.5"/>
    <n v="425.6"/>
    <n v="417.6"/>
    <n v="-8"/>
    <n v="-1.8800000000000001E-2"/>
    <n v="10.5"/>
    <n v="13.55"/>
    <n v="64.900000000000006"/>
    <n v="63.6"/>
    <n v="3"/>
    <x v="2"/>
    <n v="0"/>
    <s v="FAIL"/>
    <m/>
    <s v="ERP-2023-0115"/>
    <s v="Extended downtime — operations manager notified"/>
  </r>
  <r>
    <s v="BTH-2023-0188"/>
    <x v="147"/>
    <x v="2"/>
    <x v="4"/>
    <s v="Maturation"/>
    <s v="OP-03"/>
    <x v="4"/>
    <s v="Day"/>
    <n v="448.5"/>
    <n v="2377.1999999999998"/>
    <n v="268.39999999999998"/>
    <n v="274.3"/>
    <n v="5.9"/>
    <n v="2.1999999999999999E-2"/>
    <n v="5.3"/>
    <n v="5.73"/>
    <n v="65.8"/>
    <n v="66"/>
    <n v="0"/>
    <x v="0"/>
    <n v="1"/>
    <s v="PASS"/>
    <m/>
    <s v="ERP-2023-0132"/>
    <m/>
  </r>
  <r>
    <s v="BTH-2023-0189"/>
    <x v="148"/>
    <x v="0"/>
    <x v="0"/>
    <s v="Fermentation"/>
    <s v="OP-02"/>
    <x v="2"/>
    <s v="Day"/>
    <n v="425.2"/>
    <n v="2312.6"/>
    <n v="291.60000000000002"/>
    <n v="313"/>
    <n v="21.4"/>
    <n v="7.3400000000000007E-2"/>
    <n v="10.199999999999999"/>
    <n v="10.86"/>
    <n v="62.1"/>
    <n v="63.8"/>
    <n v="0"/>
    <x v="0"/>
    <n v="0"/>
    <s v="FAIL"/>
    <m/>
    <s v="ERP-2023-0167"/>
    <m/>
  </r>
  <r>
    <s v="BTH-2023-0190"/>
    <x v="149"/>
    <x v="1"/>
    <x v="4"/>
    <s v="Maturation"/>
    <s v="OP-05"/>
    <x v="0"/>
    <s v="Night"/>
    <n v="1014.1"/>
    <n v="5383.5"/>
    <n v="603.1"/>
    <n v="615.4"/>
    <n v="12.3"/>
    <n v="2.0400000000000001E-2"/>
    <n v="7.8"/>
    <n v="7.38"/>
    <n v="69.3"/>
    <n v="67.900000000000006"/>
    <n v="0"/>
    <x v="0"/>
    <n v="1"/>
    <s v="PASS"/>
    <m/>
    <s v="ERP-2023-0028"/>
    <m/>
  </r>
  <r>
    <s v="BTH-2023-0191"/>
    <x v="149"/>
    <x v="2"/>
    <x v="0"/>
    <s v="Mashing"/>
    <s v="OP-04"/>
    <x v="1"/>
    <s v="Day"/>
    <n v="948.4"/>
    <n v="4082.6"/>
    <n v="528.29999999999995"/>
    <n v="521"/>
    <n v="-7.3"/>
    <n v="-1.38E-2"/>
    <n v="7.5"/>
    <n v="9.9499999999999993"/>
    <n v="68.599999999999994"/>
    <n v="70.5"/>
    <n v="0"/>
    <x v="0"/>
    <n v="1"/>
    <s v="PASS"/>
    <m/>
    <s v="ERP-2023-0151"/>
    <m/>
  </r>
  <r>
    <s v="BTH-2023-0192"/>
    <x v="150"/>
    <x v="0"/>
    <x v="2"/>
    <s v="Bottling"/>
    <s v="OP-04"/>
    <x v="1"/>
    <s v="Night"/>
    <n v="809.8"/>
    <n v="4294"/>
    <n v="476.8"/>
    <n v="490.9"/>
    <n v="14.1"/>
    <n v="2.9600000000000001E-2"/>
    <n v="7"/>
    <n v="8.32"/>
    <n v="61.6"/>
    <n v="61.9"/>
    <n v="0"/>
    <x v="0"/>
    <n v="1"/>
    <s v="PASS"/>
    <m/>
    <s v="ERP-2023-0021"/>
    <m/>
  </r>
  <r>
    <s v="BTH-2023-0193"/>
    <x v="151"/>
    <x v="0"/>
    <x v="1"/>
    <s v="Maturation"/>
    <s v="OP-05"/>
    <x v="0"/>
    <s v="Night"/>
    <n v="550"/>
    <n v="2839.2"/>
    <n v="313.5"/>
    <n v="333.5"/>
    <n v="20"/>
    <n v="6.3799999999999996E-2"/>
    <n v="16"/>
    <n v="20.66"/>
    <n v="68.2"/>
    <n v="69.3"/>
    <n v="0"/>
    <x v="0"/>
    <n v="1"/>
    <s v="PASS"/>
    <m/>
    <s v="ERP-2023-0136"/>
    <m/>
  </r>
  <r>
    <s v="BTH-2023-0194"/>
    <x v="152"/>
    <x v="0"/>
    <x v="2"/>
    <s v="Maturation"/>
    <s v="OP-02"/>
    <x v="2"/>
    <s v="Day"/>
    <n v="599.70000000000005"/>
    <n v="2675.8"/>
    <n v="382.5"/>
    <n v="393.2"/>
    <n v="10.7"/>
    <n v="2.8000000000000001E-2"/>
    <n v="13"/>
    <n v="14.67"/>
    <n v="60.5"/>
    <n v="62.4"/>
    <n v="0"/>
    <x v="0"/>
    <n v="1"/>
    <s v="PASS"/>
    <m/>
    <s v="ERP-2023-0113"/>
    <m/>
  </r>
  <r>
    <s v="BTH-2023-0195"/>
    <x v="152"/>
    <x v="0"/>
    <x v="0"/>
    <s v="Bottling"/>
    <s v="OP-05"/>
    <x v="0"/>
    <s v="Day"/>
    <n v="1199"/>
    <n v="6302.6"/>
    <n v="739.3"/>
    <n v="752.8"/>
    <n v="13.5"/>
    <n v="1.83E-2"/>
    <n v="7.4"/>
    <n v="5.95"/>
    <n v="62.6"/>
    <n v="64.400000000000006"/>
    <n v="5"/>
    <x v="1"/>
    <n v="1"/>
    <s v="PASS"/>
    <m/>
    <s v="ERP-2023-0199"/>
    <s v="Extended downtime — operations manager notified"/>
  </r>
  <r>
    <s v="BTH-2023-0196"/>
    <x v="153"/>
    <x v="1"/>
    <x v="3"/>
    <s v="Fermentation"/>
    <s v="OP-01"/>
    <x v="3"/>
    <s v="Day"/>
    <n v="822.9"/>
    <n v="3246.2"/>
    <n v="488.4"/>
    <n v="488.4"/>
    <n v="0"/>
    <n v="0"/>
    <n v="16.399999999999999"/>
    <n v="16.809999999999999"/>
    <n v="61.7"/>
    <n v="60"/>
    <n v="0.5"/>
    <x v="0"/>
    <n v="0"/>
    <s v="FAIL"/>
    <m/>
    <s v="ERP-2023-0046"/>
    <m/>
  </r>
  <r>
    <s v="BTH-2023-0197"/>
    <x v="153"/>
    <x v="0"/>
    <x v="0"/>
    <s v="Bottling"/>
    <s v="OP-02"/>
    <x v="2"/>
    <s v="Day"/>
    <n v="806"/>
    <n v="2833.7"/>
    <n v="567.70000000000005"/>
    <n v="563.5"/>
    <n v="-4.2"/>
    <n v="-7.4000000000000003E-3"/>
    <n v="6.7"/>
    <n v="6.23"/>
    <n v="67.7"/>
    <n v="68.900000000000006"/>
    <n v="0"/>
    <x v="0"/>
    <n v="1"/>
    <s v="PASS"/>
    <m/>
    <s v="ERP-2023-0103"/>
    <m/>
  </r>
  <r>
    <s v="BTH-2023-0198"/>
    <x v="154"/>
    <x v="2"/>
    <x v="4"/>
    <s v="Bottling"/>
    <s v="OP-01"/>
    <x v="3"/>
    <s v="Day"/>
    <n v="728.2"/>
    <n v="2603.4"/>
    <n v="425.3"/>
    <n v="407.9"/>
    <n v="-17.399999999999999"/>
    <n v="-4.0899999999999999E-2"/>
    <n v="14.5"/>
    <n v="15.34"/>
    <n v="68.2"/>
    <n v="70.2"/>
    <n v="0"/>
    <x v="0"/>
    <n v="0"/>
    <s v="FAIL"/>
    <m/>
    <s v="ERP-2023-0169"/>
    <m/>
  </r>
  <r>
    <s v="BTH-2023-0199"/>
    <x v="155"/>
    <x v="4"/>
    <x v="2"/>
    <s v="Bottling"/>
    <s v="OP-02"/>
    <x v="2"/>
    <s v="Day"/>
    <n v="610"/>
    <n v="3147.1"/>
    <n v="433.3"/>
    <n v="397.1"/>
    <n v="-36.200000000000003"/>
    <n v="-8.3500000000000005E-2"/>
    <n v="14.9"/>
    <n v="19.09"/>
    <n v="65.3"/>
    <n v="63.5"/>
    <n v="0"/>
    <x v="0"/>
    <n v="1"/>
    <s v="PASS"/>
    <m/>
    <s v="ERP-2023-0114"/>
    <s v="Yield below threshold — reviewed with production lead"/>
  </r>
  <r>
    <s v="BTH-2023-0200"/>
    <x v="156"/>
    <x v="1"/>
    <x v="0"/>
    <s v="Fermentation"/>
    <s v="OP-03"/>
    <x v="4"/>
    <s v="Night"/>
    <n v="692.3"/>
    <n v="2892.6"/>
    <n v="412.5"/>
    <n v="419.6"/>
    <n v="7.1"/>
    <n v="1.72E-2"/>
    <n v="17.3"/>
    <n v="23.41"/>
    <n v="63.9"/>
    <n v="64.400000000000006"/>
    <n v="0"/>
    <x v="0"/>
    <n v="1"/>
    <s v="PASS"/>
    <m/>
    <s v="ERP-2023-0055"/>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
  <r>
    <s v="BTH-2023-0001"/>
    <n v="44927"/>
    <s v="SITE-01"/>
    <s v="Calgary Distillery"/>
    <s v="Calgary Metro"/>
    <x v="0"/>
    <s v="Blending"/>
    <s v="OP-05"/>
    <x v="0"/>
    <s v="Day"/>
    <n v="1133.7"/>
    <n v="5470.7"/>
    <n v="658.7"/>
    <n v="677.4"/>
    <n v="18.7"/>
    <n v="2.8400000000000002E-2"/>
    <n v="15.5"/>
    <n v="19.05"/>
    <n v="62.5"/>
    <n v="62.2"/>
    <n v="2"/>
    <m/>
    <s v="PASS"/>
    <n v="1"/>
    <s v="ERP-2023-0087"/>
    <m/>
  </r>
  <r>
    <s v="BTH-2023-0001"/>
    <n v="44927"/>
    <s v="SITE-01"/>
    <s v="Calgary Distillery"/>
    <s v="Calgary Metro"/>
    <x v="0"/>
    <s v="Blending"/>
    <s v="OP-05"/>
    <x v="0"/>
    <s v="Day"/>
    <n v="1133.7"/>
    <n v="5470.7"/>
    <n v="658.7"/>
    <n v="677.4"/>
    <n v="18.7"/>
    <n v="2.8400000000000002E-2"/>
    <n v="15.5"/>
    <n v="19.05"/>
    <n v="62.5"/>
    <n v="62.2"/>
    <n v="2"/>
    <m/>
    <s v="PASS"/>
    <n v="1"/>
    <s v="ERP-2023-0087"/>
    <m/>
  </r>
  <r>
    <s v="BTH-2023-0003"/>
    <n v="44928"/>
    <s v="SITE-03"/>
    <s v="Airdrie Bottling Facility"/>
    <s v="Central AB"/>
    <x v="1"/>
    <s v="Maturation"/>
    <s v="OP-05"/>
    <x v="0"/>
    <s v="Day"/>
    <n v="651.29999999999995"/>
    <n v="3235.9"/>
    <n v="366.1"/>
    <n v="368.7"/>
    <n v="2.6"/>
    <n v="7.1000000000000004E-3"/>
    <n v="8.1"/>
    <n v="8.1"/>
    <n v="61.5"/>
    <n v="61.6"/>
    <n v="3"/>
    <m/>
    <s v="FAIL"/>
    <n v="0"/>
    <s v="ERP-2023-0160"/>
    <s v="Extended downtime — operations manager notified"/>
  </r>
  <r>
    <s v="BTH-2023-0004"/>
    <n v="44929"/>
    <s v="SITE-05"/>
    <s v="Canmore Barrel House"/>
    <s v="Foothills AB"/>
    <x v="0"/>
    <s v="Fermentation"/>
    <s v="OP-02"/>
    <x v="1"/>
    <s v="Day"/>
    <n v="903.4"/>
    <n v="3272.6"/>
    <n v="632"/>
    <n v="618.20000000000005"/>
    <n v="-13.8"/>
    <n v="-2.18E-2"/>
    <n v="6.1"/>
    <n v="8.2899999999999991"/>
    <n v="60.4"/>
    <n v="59.9"/>
    <n v="0.5"/>
    <s v="Cooling water interruption"/>
    <s v="PASS"/>
    <n v="1"/>
    <s v="ERP-2023-0022"/>
    <m/>
  </r>
  <r>
    <s v="BTH-2023-0005"/>
    <n v="44932"/>
    <s v="SITE-05"/>
    <s v="Canmore Barrel House"/>
    <s v="Foothills AB"/>
    <x v="0"/>
    <s v="Distillation"/>
    <s v="OP-02"/>
    <x v="1"/>
    <s v="Night"/>
    <n v="719.3"/>
    <n v="3700.6"/>
    <n v="444.5"/>
    <n v="443.9"/>
    <n v="-0.6"/>
    <n v="-1.2999999999999999E-3"/>
    <n v="5.3"/>
    <n v="7.04"/>
    <n v="69.2"/>
    <n v="70.3"/>
    <n v="0"/>
    <m/>
    <s v="PASS"/>
    <n v="1"/>
    <s v="ERP-2023-0007"/>
    <m/>
  </r>
  <r>
    <s v="BTH-2023-0002"/>
    <n v="44928"/>
    <s v="SITE-03"/>
    <s v="Airdrie Bottling Facility"/>
    <s v="Central AB"/>
    <x v="0"/>
    <s v="Maturation"/>
    <s v="OP-04"/>
    <x v="2"/>
    <s v="Night"/>
    <n v="968.1"/>
    <n v="3761.3"/>
    <n v="569.29999999999995"/>
    <n v="579"/>
    <n v="9.6999999999999993"/>
    <n v="1.7000000000000001E-2"/>
    <n v="12.1"/>
    <n v="16.2"/>
    <n v="62.3"/>
    <n v="63.9"/>
    <n v="0"/>
    <m/>
    <s v="PASS"/>
    <n v="1"/>
    <s v="ERP-2023-0086"/>
    <m/>
  </r>
  <r>
    <s v="BTH-2023-0006"/>
    <n v="44932"/>
    <s v="SITE-04"/>
    <s v="Red Deer Grain Store"/>
    <s v="Central AB"/>
    <x v="0"/>
    <s v="Maturation"/>
    <s v="OP-04"/>
    <x v="2"/>
    <s v="Day"/>
    <n v="466.9"/>
    <n v="1816.3"/>
    <n v="330.9"/>
    <n v="329.2"/>
    <n v="-1.7"/>
    <n v="-5.1000000000000004E-3"/>
    <n v="5.6"/>
    <n v="6.94"/>
    <n v="67.099999999999994"/>
    <n v="65.5"/>
    <n v="1"/>
    <m/>
    <s v="PASS"/>
    <n v="1"/>
    <s v="ERP-2023-0035"/>
    <m/>
  </r>
  <r>
    <s v="BTH-2023-0007"/>
    <n v="44934"/>
    <s v="SITE-01"/>
    <s v="Calgary Distillery"/>
    <s v="Calgary Metro"/>
    <x v="2"/>
    <s v="Maturation"/>
    <s v="OP-01"/>
    <x v="3"/>
    <s v="Night"/>
    <n v="924.1"/>
    <n v="3241.6"/>
    <n v="615.20000000000005"/>
    <n v="578.70000000000005"/>
    <n v="-36.5"/>
    <n v="-5.9299999999999999E-2"/>
    <n v="8.5"/>
    <n v="8.1300000000000008"/>
    <n v="61.4"/>
    <n v="63.5"/>
    <n v="0"/>
    <m/>
    <s v="PASS"/>
    <n v="1"/>
    <s v="ERP-2023-0015"/>
    <s v="ABV over-strength — blending adjustment applied"/>
  </r>
  <r>
    <s v="BTH-2023-0007"/>
    <n v="44934"/>
    <s v="SITE-01"/>
    <s v="Calgary Distillery"/>
    <s v="Calgary Metro"/>
    <x v="2"/>
    <s v="Maturation"/>
    <s v="OP-01"/>
    <x v="3"/>
    <s v="Night"/>
    <n v="924.1"/>
    <n v="3241.6"/>
    <n v="615.20000000000005"/>
    <n v="578.70000000000005"/>
    <n v="-36.5"/>
    <n v="-5.9299999999999999E-2"/>
    <n v="8.5"/>
    <n v="8.1300000000000008"/>
    <n v="61.4"/>
    <n v="63.5"/>
    <n v="0"/>
    <m/>
    <s v="PASS"/>
    <n v="1"/>
    <s v="ERP-2023-0015"/>
    <s v="ABV over-strength — blending adjustment applied"/>
  </r>
  <r>
    <s v="BTH-2023-0008"/>
    <n v="44934"/>
    <s v="SITE-05"/>
    <s v="Canmore Barrel House"/>
    <s v="Foothills AB"/>
    <x v="0"/>
    <s v="Blending"/>
    <s v="OP-03"/>
    <x v="4"/>
    <s v="Day"/>
    <n v="824.9"/>
    <n v="3736.2"/>
    <n v="593.9"/>
    <n v="599.6"/>
    <n v="5.7"/>
    <n v="9.5999999999999992E-3"/>
    <n v="13.4"/>
    <n v="14.76"/>
    <n v="68.5"/>
    <n v="66.099999999999994"/>
    <n v="3"/>
    <m/>
    <s v="FAIL"/>
    <n v="0"/>
    <s v="ERP-2023-0146"/>
    <s v="ABV under-strength — batch held pending QC review"/>
  </r>
  <r>
    <s v="BTH-2023-0009"/>
    <n v="44936"/>
    <s v="SITE-03"/>
    <s v="Airdrie Bottling Facility"/>
    <s v="Central AB"/>
    <x v="2"/>
    <s v="Maturation"/>
    <s v="OP-02"/>
    <x v="1"/>
    <s v="Day"/>
    <n v="1023.8"/>
    <n v="3627.4"/>
    <n v="593.70000000000005"/>
    <n v="576.5"/>
    <n v="-17.2"/>
    <n v="-2.9000000000000001E-2"/>
    <n v="14.6"/>
    <n v="12.3"/>
    <n v="60"/>
    <n v="58.1"/>
    <n v="0"/>
    <m/>
    <s v="PASS"/>
    <n v="1"/>
    <s v="ERP-2023-0027"/>
    <m/>
  </r>
  <r>
    <s v="BTH-2023-0010"/>
    <n v="44937"/>
    <s v="SITE-04"/>
    <s v="Red Deer Grain Store"/>
    <s v="Central AB"/>
    <x v="0"/>
    <s v="Maturation"/>
    <s v="OP-04"/>
    <x v="2"/>
    <s v="Day"/>
    <n v="951.5"/>
    <n v="4330.3"/>
    <n v="576.9"/>
    <n v="527.20000000000005"/>
    <n v="-49.7"/>
    <n v="-8.6199999999999999E-2"/>
    <n v="12"/>
    <n v="11.38"/>
    <n v="62.2"/>
    <n v="61.7"/>
    <n v="0"/>
    <m/>
    <s v="FAIL"/>
    <n v="0"/>
    <s v="ERP-2023-0170"/>
    <s v="Yield below threshold — reviewed with production lead"/>
  </r>
  <r>
    <s v="BTH-2023-0011"/>
    <n v="44945"/>
    <s v="SITE-01"/>
    <s v="Calgary Distillery"/>
    <s v="Calgary Metro"/>
    <x v="0"/>
    <s v="Fermentation"/>
    <s v="OP-04"/>
    <x v="2"/>
    <s v="Night"/>
    <n v="464.9"/>
    <n v="2022.7"/>
    <n v="262.5"/>
    <n v="257.3"/>
    <n v="-5.2"/>
    <n v="-1.9800000000000002E-2"/>
    <n v="8.6"/>
    <n v="9.58"/>
    <n v="62"/>
    <n v="63.4"/>
    <n v="0"/>
    <m/>
    <s v="PASS"/>
    <n v="1"/>
    <s v="ERP-2023-0004"/>
    <m/>
  </r>
  <r>
    <s v="BTH-2023-0011"/>
    <n v="44945"/>
    <s v="SITE-01"/>
    <s v="Calgary Distillery"/>
    <s v="Calgary Metro"/>
    <x v="0"/>
    <s v="Fermentation"/>
    <s v="OP-04"/>
    <x v="2"/>
    <s v="Night"/>
    <n v="464.9"/>
    <n v="2022.7"/>
    <n v="262.5"/>
    <n v="257.3"/>
    <n v="-5.2"/>
    <n v="-1.9800000000000002E-2"/>
    <n v="8.6"/>
    <n v="9.58"/>
    <n v="62"/>
    <n v="63.4"/>
    <n v="0"/>
    <m/>
    <s v="PASS"/>
    <n v="1"/>
    <s v="ERP-2023-0004"/>
    <m/>
  </r>
  <r>
    <s v="BTH-2023-0012"/>
    <n v="44951"/>
    <s v="SITE-03"/>
    <s v="Airdrie Bottling Facility"/>
    <s v="Central AB"/>
    <x v="1"/>
    <s v="Fermentation"/>
    <s v="OP-05"/>
    <x v="0"/>
    <s v="Night"/>
    <n v="526.79999999999995"/>
    <n v="2306.4"/>
    <n v="352"/>
    <n v="359.1"/>
    <n v="7.1"/>
    <n v="2.0199999999999999E-2"/>
    <n v="5.6"/>
    <n v="5.0599999999999996"/>
    <n v="62.8"/>
    <n v="62.1"/>
    <n v="1"/>
    <s v="Yeast propagation delay"/>
    <s v="PASS"/>
    <n v="1"/>
    <s v="ERP-2023-0016"/>
    <m/>
  </r>
  <r>
    <s v="BTH-2023-0013"/>
    <n v="44953"/>
    <s v="SITE-05"/>
    <s v="Canmore Barrel House"/>
    <s v="Foothills AB"/>
    <x v="0"/>
    <s v="Blending"/>
    <s v="OP-02"/>
    <x v="1"/>
    <s v="Night"/>
    <n v="710.4"/>
    <n v="3900.9"/>
    <n v="506.3"/>
    <n v="461.4"/>
    <n v="-44.9"/>
    <n v="-8.8700000000000001E-2"/>
    <n v="13.3"/>
    <n v="15.55"/>
    <n v="69.599999999999994"/>
    <n v="72"/>
    <n v="1"/>
    <m/>
    <s v="PASS"/>
    <n v="1"/>
    <s v="ERP-2023-0186"/>
    <s v="Yield below threshold — reviewed with production lead"/>
  </r>
  <r>
    <s v="BTH-2023-0014"/>
    <n v="44956"/>
    <s v="SITE-05"/>
    <s v="Canmore Barrel House"/>
    <s v="Foothills AB"/>
    <x v="3"/>
    <s v="Maturation"/>
    <s v="OP-02"/>
    <x v="1"/>
    <s v="Day"/>
    <n v="603.20000000000005"/>
    <n v="3217.6"/>
    <n v="345.7"/>
    <n v="329.4"/>
    <n v="-16.3"/>
    <n v="-4.7199999999999999E-2"/>
    <n v="8.9"/>
    <n v="11.44"/>
    <n v="63.8"/>
    <n v="64.099999999999994"/>
    <n v="0"/>
    <m/>
    <s v="PASS"/>
    <n v="1"/>
    <s v="ERP-2023-0079"/>
    <m/>
  </r>
  <r>
    <s v="BTH-2023-0015"/>
    <n v="44957"/>
    <s v="SITE-05"/>
    <s v="Canmore Barrel House"/>
    <s v="Foothills AB"/>
    <x v="2"/>
    <s v="Blending"/>
    <s v="OP-02"/>
    <x v="1"/>
    <s v="Night"/>
    <n v="982.4"/>
    <n v="4151.1000000000004"/>
    <n v="685"/>
    <n v="664.3"/>
    <n v="-20.7"/>
    <n v="-3.0200000000000001E-2"/>
    <n v="5.4"/>
    <n v="7.26"/>
    <n v="69"/>
    <n v="69.7"/>
    <n v="0"/>
    <m/>
    <s v="PASS"/>
    <n v="1"/>
    <s v="ERP-2023-0188"/>
    <m/>
  </r>
  <r>
    <s v="BTH-2023-0016"/>
    <n v="44958"/>
    <s v="SITE-03"/>
    <s v="Airdrie Bottling Facility"/>
    <s v="Central AB"/>
    <x v="2"/>
    <s v="Fermentation"/>
    <s v="OP-01"/>
    <x v="3"/>
    <s v="Night"/>
    <n v="542"/>
    <n v="2434.3000000000002"/>
    <n v="332.1"/>
    <n v="350.3"/>
    <n v="18.2"/>
    <n v="5.4800000000000001E-2"/>
    <n v="6.6"/>
    <n v="6"/>
    <n v="63.9"/>
    <n v="65.5"/>
    <n v="0"/>
    <m/>
    <s v="PASS"/>
    <n v="1"/>
    <s v="ERP-2023-0124"/>
    <m/>
  </r>
  <r>
    <s v="BTH-2023-0017"/>
    <n v="44958"/>
    <s v="SITE-05"/>
    <s v="Canmore Barrel House"/>
    <s v="Foothills AB"/>
    <x v="1"/>
    <s v="Maturation"/>
    <s v="OP-02"/>
    <x v="1"/>
    <s v="Day"/>
    <n v="917.5"/>
    <n v="3783.1"/>
    <n v="659.7"/>
    <n v="677.6"/>
    <n v="17.899999999999999"/>
    <n v="2.7099999999999999E-2"/>
    <n v="17.899999999999999"/>
    <n v="23.69"/>
    <n v="60.2"/>
    <n v="59.7"/>
    <n v="5"/>
    <s v="Yeast propagation delay"/>
    <s v="PASS"/>
    <n v="1"/>
    <s v="ERP-2023-0148"/>
    <s v="Extended downtime — operations manager notified"/>
  </r>
  <r>
    <s v="BTH-2023-0018"/>
    <n v="44960"/>
    <s v="SITE-04"/>
    <s v="Red Deer Grain Store"/>
    <s v="Central AB"/>
    <x v="2"/>
    <s v="Blending"/>
    <s v="OP-03"/>
    <x v="4"/>
    <s v="Day"/>
    <n v="995.2"/>
    <n v="4670.3"/>
    <n v="600.9"/>
    <n v="597.70000000000005"/>
    <n v="-3.2"/>
    <n v="-5.3E-3"/>
    <n v="8.1999999999999993"/>
    <n v="8.7899999999999991"/>
    <n v="62.3"/>
    <n v="61.6"/>
    <n v="0"/>
    <m/>
    <s v="PASS"/>
    <n v="1"/>
    <s v="ERP-2023-0153"/>
    <m/>
  </r>
  <r>
    <s v="BTH-2023-0019"/>
    <n v="44961"/>
    <s v="SITE-03"/>
    <s v="Airdrie Bottling Facility"/>
    <s v="Central AB"/>
    <x v="1"/>
    <s v="Maturation"/>
    <s v="OP-05"/>
    <x v="0"/>
    <s v="Day"/>
    <n v="908.1"/>
    <n v="4192.8999999999996"/>
    <n v="532.20000000000005"/>
    <n v="526.70000000000005"/>
    <n v="-5.5"/>
    <n v="-1.03E-2"/>
    <n v="7.3"/>
    <n v="8.8800000000000008"/>
    <n v="66.7"/>
    <n v="66.400000000000006"/>
    <n v="3"/>
    <s v="Still head gasket failure"/>
    <s v="PASS"/>
    <n v="1"/>
    <s v="ERP-2023-0141"/>
    <s v="Extended downtime — operations manager notified"/>
  </r>
  <r>
    <s v="BTH-2023-0020"/>
    <n v="44962"/>
    <s v="SITE-05"/>
    <s v="Canmore Barrel House"/>
    <s v="Foothills AB"/>
    <x v="2"/>
    <s v="Bottling"/>
    <s v="OP-03"/>
    <x v="4"/>
    <s v="Night"/>
    <n v="826.6"/>
    <n v="4430.3"/>
    <n v="490.7"/>
    <n v="515.5"/>
    <n v="24.8"/>
    <n v="5.0500000000000003E-2"/>
    <n v="13.2"/>
    <n v="15.4"/>
    <n v="62.8"/>
    <n v="63.7"/>
    <n v="2"/>
    <m/>
    <s v="PASS"/>
    <n v="1"/>
    <s v="ERP-2023-0009"/>
    <m/>
  </r>
  <r>
    <s v="BTH-2023-0021"/>
    <n v="44962"/>
    <s v="SITE-03"/>
    <s v="Airdrie Bottling Facility"/>
    <s v="Central AB"/>
    <x v="4"/>
    <s v="Fermentation"/>
    <s v="OP-02"/>
    <x v="1"/>
    <s v="Night"/>
    <n v="534.29999999999995"/>
    <n v="1891.6"/>
    <n v="379.2"/>
    <n v="384.6"/>
    <n v="5.4"/>
    <n v="1.4200000000000001E-2"/>
    <n v="5.6"/>
    <n v="7.14"/>
    <n v="64.5"/>
    <n v="65.400000000000006"/>
    <n v="1"/>
    <m/>
    <s v="PASS"/>
    <n v="1"/>
    <s v="ERP-2023-0182"/>
    <m/>
  </r>
  <r>
    <s v="BTH-2023-0022"/>
    <n v="44963"/>
    <s v="SITE-05"/>
    <s v="Canmore Barrel House"/>
    <s v="Foothills AB"/>
    <x v="3"/>
    <s v="Blending"/>
    <s v="OP-03"/>
    <x v="4"/>
    <s v="Night"/>
    <n v="506.1"/>
    <n v="1927.8"/>
    <n v="345.5"/>
    <n v="353.3"/>
    <n v="7.8"/>
    <n v="2.2599999999999999E-2"/>
    <n v="17.399999999999999"/>
    <n v="17.5"/>
    <n v="66.7"/>
    <n v="65.2"/>
    <n v="0"/>
    <m/>
    <s v="PASS"/>
    <n v="1"/>
    <s v="ERP-2023-0066"/>
    <m/>
  </r>
  <r>
    <s v="BTH-2023-0023"/>
    <n v="44963"/>
    <s v="SITE-02"/>
    <s v="Okotoks Malting Plant"/>
    <s v="South AB"/>
    <x v="1"/>
    <s v="Maturation"/>
    <s v="OP-02"/>
    <x v="1"/>
    <s v="Night"/>
    <n v="913.9"/>
    <n v="4189.8"/>
    <n v="544.5"/>
    <n v="574"/>
    <n v="29.5"/>
    <n v="5.4199999999999998E-2"/>
    <n v="12.8"/>
    <n v="14.86"/>
    <n v="61.6"/>
    <n v="59.3"/>
    <n v="0"/>
    <m/>
    <s v="FAIL"/>
    <n v="0"/>
    <s v="ERP-2023-0083"/>
    <s v="ABV under-strength — batch held pending QC review"/>
  </r>
  <r>
    <s v="BTH-2023-0024"/>
    <n v="44964"/>
    <s v="SITE-02"/>
    <s v="Okotoks Malting Plant"/>
    <s v="South AB"/>
    <x v="2"/>
    <s v="Distillation"/>
    <s v="OP-05"/>
    <x v="0"/>
    <s v="Night"/>
    <n v="796.6"/>
    <n v="2942.7"/>
    <n v="523.20000000000005"/>
    <n v="550.29999999999995"/>
    <n v="27.1"/>
    <n v="5.1799999999999999E-2"/>
    <n v="8.4"/>
    <n v="11.38"/>
    <n v="66.599999999999994"/>
    <n v="65"/>
    <n v="3"/>
    <s v="Power fluctuation"/>
    <s v="PASS"/>
    <n v="1"/>
    <s v="ERP-2023-0025"/>
    <s v="Extended downtime — operations manager notified"/>
  </r>
  <r>
    <s v="BTH-2023-0025"/>
    <n v="44964"/>
    <s v="SITE-01"/>
    <s v="Calgary Distillery"/>
    <s v="Calgary Metro"/>
    <x v="0"/>
    <s v="Fermentation"/>
    <s v="OP-04"/>
    <x v="2"/>
    <s v="Night"/>
    <n v="1095.5"/>
    <n v="5859.4"/>
    <n v="754.1"/>
    <n v="772.8"/>
    <n v="18.7"/>
    <n v="2.4799999999999999E-2"/>
    <n v="8.4"/>
    <n v="9.9499999999999993"/>
    <n v="67.2"/>
    <n v="68.8"/>
    <n v="0"/>
    <m/>
    <s v="FAIL"/>
    <n v="0"/>
    <s v="ERP-2023-0109"/>
    <m/>
  </r>
  <r>
    <s v="BTH-2023-0025"/>
    <n v="44964"/>
    <s v="SITE-01"/>
    <s v="Calgary Distillery"/>
    <s v="Calgary Metro"/>
    <x v="0"/>
    <s v="Fermentation"/>
    <s v="OP-04"/>
    <x v="2"/>
    <s v="Night"/>
    <n v="1095.5"/>
    <n v="5859.4"/>
    <n v="754.1"/>
    <n v="772.8"/>
    <n v="18.7"/>
    <n v="2.4799999999999999E-2"/>
    <n v="8.4"/>
    <n v="9.9499999999999993"/>
    <n v="67.2"/>
    <n v="68.8"/>
    <n v="0"/>
    <m/>
    <s v="FAIL"/>
    <n v="0"/>
    <s v="ERP-2023-0109"/>
    <m/>
  </r>
  <r>
    <s v="BTH-2023-0026"/>
    <n v="44965"/>
    <s v="SITE-01"/>
    <s v="Calgary Distillery"/>
    <s v="Calgary Metro"/>
    <x v="0"/>
    <s v="Mashing"/>
    <s v="OP-03"/>
    <x v="4"/>
    <s v="Night"/>
    <n v="1023.4"/>
    <n v="3938.3"/>
    <n v="629.9"/>
    <n v="549.6"/>
    <n v="-80.3"/>
    <n v="-0.1275"/>
    <n v="6.7"/>
    <n v="7.22"/>
    <n v="69.2"/>
    <n v="68.5"/>
    <n v="5"/>
    <s v="Power fluctuation"/>
    <s v="FAIL"/>
    <n v="0"/>
    <s v="ERP-2023-0061"/>
    <s v="Yield below threshold — reviewed with production lead"/>
  </r>
  <r>
    <s v="BTH-2023-0026"/>
    <n v="44965"/>
    <s v="SITE-01"/>
    <s v="Calgary Distillery"/>
    <s v="Calgary Metro"/>
    <x v="0"/>
    <s v="Mashing"/>
    <s v="OP-03"/>
    <x v="4"/>
    <s v="Night"/>
    <n v="1023.4"/>
    <n v="3938.3"/>
    <n v="629.9"/>
    <n v="549.6"/>
    <n v="-80.3"/>
    <n v="-0.1275"/>
    <n v="6.7"/>
    <n v="7.22"/>
    <n v="69.2"/>
    <n v="68.5"/>
    <n v="5"/>
    <s v="Power fluctuation"/>
    <s v="FAIL"/>
    <n v="0"/>
    <s v="ERP-2023-0061"/>
    <s v="Yield below threshold — reviewed with production lead"/>
  </r>
  <r>
    <s v="BTH-2023-0027"/>
    <n v="44965"/>
    <s v="SITE-05"/>
    <s v="Canmore Barrel House"/>
    <s v="Foothills AB"/>
    <x v="3"/>
    <s v="Distillation"/>
    <s v="OP-04"/>
    <x v="2"/>
    <s v="Day"/>
    <n v="627.4"/>
    <n v="2548.1999999999998"/>
    <n v="347.2"/>
    <n v="349.3"/>
    <n v="2.1"/>
    <n v="6.0000000000000001E-3"/>
    <n v="14.8"/>
    <n v="18.670000000000002"/>
    <n v="61.5"/>
    <n v="61.3"/>
    <n v="0.5"/>
    <s v="Yeast propagation delay"/>
    <s v="PASS"/>
    <n v="1"/>
    <s v="ERP-2023-0142"/>
    <m/>
  </r>
  <r>
    <s v="BTH-2023-0028"/>
    <n v="44967"/>
    <s v="SITE-03"/>
    <s v="Airdrie Bottling Facility"/>
    <s v="Central AB"/>
    <x v="2"/>
    <s v="Fermentation"/>
    <s v="OP-01"/>
    <x v="3"/>
    <s v="Day"/>
    <n v="1040.9000000000001"/>
    <n v="5631.5"/>
    <n v="699"/>
    <n v="709.3"/>
    <n v="10.3"/>
    <n v="1.47E-2"/>
    <n v="11.6"/>
    <n v="10.68"/>
    <n v="61.9"/>
    <n v="60.7"/>
    <n v="0"/>
    <m/>
    <s v="PASS"/>
    <n v="1"/>
    <s v="ERP-2023-0149"/>
    <m/>
  </r>
  <r>
    <s v="BTH-2023-0029"/>
    <n v="44968"/>
    <s v="SITE-05"/>
    <s v="Canmore Barrel House"/>
    <s v="Foothills AB"/>
    <x v="4"/>
    <s v="Bottling"/>
    <s v="OP-04"/>
    <x v="2"/>
    <s v="Night"/>
    <n v="782.8"/>
    <n v="3072.6"/>
    <n v="558.29999999999995"/>
    <n v="565.29999999999995"/>
    <n v="7"/>
    <n v="1.2500000000000001E-2"/>
    <n v="6.3"/>
    <n v="7.65"/>
    <n v="66.7"/>
    <n v="67.3"/>
    <n v="0"/>
    <m/>
    <s v="PASS"/>
    <n v="1"/>
    <s v="ERP-2023-0198"/>
    <m/>
  </r>
  <r>
    <s v="BTH-2023-0030"/>
    <n v="44970"/>
    <s v="SITE-03"/>
    <s v="Airdrie Bottling Facility"/>
    <s v="Central AB"/>
    <x v="2"/>
    <s v="Mashing"/>
    <s v="OP-03"/>
    <x v="4"/>
    <s v="Day"/>
    <n v="459.3"/>
    <n v="2264.8000000000002"/>
    <n v="326.60000000000002"/>
    <n v="333.4"/>
    <n v="6.8"/>
    <n v="2.0799999999999999E-2"/>
    <n v="15.9"/>
    <n v="19.28"/>
    <n v="69.099999999999994"/>
    <n v="69"/>
    <n v="0"/>
    <m/>
    <s v="PASS"/>
    <n v="1"/>
    <s v="ERP-2023-0163"/>
    <m/>
  </r>
  <r>
    <s v="BTH-2023-0031"/>
    <n v="44972"/>
    <s v="SITE-05"/>
    <s v="Canmore Barrel House"/>
    <s v="Foothills AB"/>
    <x v="0"/>
    <s v="Distillation"/>
    <s v="OP-01"/>
    <x v="3"/>
    <s v="Day"/>
    <n v="638.20000000000005"/>
    <n v="2661"/>
    <n v="355.7"/>
    <n v="353"/>
    <n v="-2.7"/>
    <n v="-7.6E-3"/>
    <n v="11.6"/>
    <n v="11.71"/>
    <n v="63.5"/>
    <n v="61.2"/>
    <n v="0"/>
    <m/>
    <s v="PASS"/>
    <n v="1"/>
    <s v="ERP-2023-0036"/>
    <s v="ABV under-strength — batch held pending QC review"/>
  </r>
  <r>
    <s v="BTH-2023-0032"/>
    <n v="44973"/>
    <s v="SITE-03"/>
    <s v="Airdrie Bottling Facility"/>
    <s v="Central AB"/>
    <x v="0"/>
    <s v="Blending"/>
    <s v="OP-05"/>
    <x v="0"/>
    <s v="Night"/>
    <n v="907.1"/>
    <n v="4447.5"/>
    <n v="615.1"/>
    <n v="644.5"/>
    <n v="29.4"/>
    <n v="4.7800000000000002E-2"/>
    <n v="11.4"/>
    <n v="13.24"/>
    <n v="64.5"/>
    <n v="65.900000000000006"/>
    <n v="0"/>
    <m/>
    <s v="PASS"/>
    <n v="1"/>
    <s v="ERP-2023-0134"/>
    <m/>
  </r>
  <r>
    <s v="BTH-2023-0033"/>
    <n v="44975"/>
    <s v="SITE-02"/>
    <s v="Okotoks Malting Plant"/>
    <s v="South AB"/>
    <x v="2"/>
    <s v="Maturation"/>
    <s v="OP-01"/>
    <x v="3"/>
    <s v="Day"/>
    <n v="632.1"/>
    <n v="3154.4"/>
    <n v="420.3"/>
    <n v="424.6"/>
    <n v="4.3"/>
    <n v="1.0200000000000001E-2"/>
    <n v="10.7"/>
    <n v="11.82"/>
    <n v="69.5"/>
    <n v="67.099999999999994"/>
    <n v="1"/>
    <s v="Power fluctuation"/>
    <s v="PASS"/>
    <n v="1"/>
    <s v=" "/>
    <s v="ABV under-strength — batch held pending QC review"/>
  </r>
  <r>
    <s v="BTH-2023-0034"/>
    <n v="44975"/>
    <s v="SITE-02"/>
    <s v="Okotoks Malting Plant"/>
    <s v="South AB"/>
    <x v="4"/>
    <s v="Distillation"/>
    <s v="OP-02"/>
    <x v="1"/>
    <s v="Night"/>
    <n v="692.1"/>
    <n v="2999.5"/>
    <n v="477.8"/>
    <n v="490"/>
    <n v="12.2"/>
    <n v="2.5499999999999998E-2"/>
    <n v="15.7"/>
    <n v="13.82"/>
    <n v="60.2"/>
    <n v="59.1"/>
    <n v="3"/>
    <s v="Power fluctuation"/>
    <s v="PASS"/>
    <n v="1"/>
    <s v="ERP-2023-0104"/>
    <s v="Extended downtime — operations manager notified"/>
  </r>
  <r>
    <s v="BTH-2023-0035"/>
    <n v="44976"/>
    <s v="SITE-01"/>
    <s v="Calgary Distillery"/>
    <s v="Calgary Metro"/>
    <x v="3"/>
    <s v="Distillation"/>
    <s v="OP-02"/>
    <x v="1"/>
    <s v="Day"/>
    <n v="727.9"/>
    <n v="3893"/>
    <n v="509.3"/>
    <n v="511.8"/>
    <n v="2.5"/>
    <n v="4.8999999999999998E-3"/>
    <n v="7.3"/>
    <n v="6.97"/>
    <n v="68.599999999999994"/>
    <n v="67.900000000000006"/>
    <n v="3"/>
    <s v="Cooling water interruption"/>
    <s v="FAIL"/>
    <n v="0"/>
    <s v="ERP-2023-0006"/>
    <s v="Extended downtime — operations manager notified"/>
  </r>
  <r>
    <s v="BTH-2023-0035"/>
    <n v="44976"/>
    <s v="SITE-01"/>
    <s v="Calgary Distillery"/>
    <s v="Calgary Metro"/>
    <x v="3"/>
    <s v="Distillation"/>
    <s v="OP-02"/>
    <x v="1"/>
    <s v="Day"/>
    <n v="727.9"/>
    <n v="3893"/>
    <n v="509.3"/>
    <n v="511.8"/>
    <n v="2.5"/>
    <n v="4.8999999999999998E-3"/>
    <n v="7.3"/>
    <n v="6.97"/>
    <n v="68.599999999999994"/>
    <n v="67.900000000000006"/>
    <n v="3"/>
    <s v="Cooling water interruption"/>
    <s v="FAIL"/>
    <n v="0"/>
    <s v="ERP-2023-0006"/>
    <s v="Extended downtime — operations manager notified"/>
  </r>
  <r>
    <s v="BTH-2023-0036"/>
    <n v="44976"/>
    <s v="SITE-05"/>
    <s v="Canmore Barrel House"/>
    <s v="Foothills AB"/>
    <x v="4"/>
    <s v="Bottling"/>
    <s v="OP-01"/>
    <x v="3"/>
    <s v="Night"/>
    <n v="581.4"/>
    <n v="2978.8"/>
    <n v="351.3"/>
    <n v="319.10000000000002"/>
    <n v="-32.200000000000003"/>
    <n v="-9.1700000000000004E-2"/>
    <n v="10"/>
    <n v="8.0500000000000007"/>
    <n v="65.2"/>
    <n v="66.599999999999994"/>
    <n v="0"/>
    <m/>
    <s v="FAIL"/>
    <n v="0"/>
    <s v="ERP-2023-0080"/>
    <s v="Yield below threshold — reviewed with production lead"/>
  </r>
  <r>
    <s v="BTH-2023-0037"/>
    <n v="44976"/>
    <s v="SITE-05"/>
    <s v="Canmore Barrel House"/>
    <s v="Foothills AB"/>
    <x v="0"/>
    <s v="Blending"/>
    <s v="OP-04"/>
    <x v="2"/>
    <s v="Day"/>
    <n v="641"/>
    <n v="2369.5"/>
    <n v="447.7"/>
    <n v="437.5"/>
    <n v="-10.199999999999999"/>
    <n v="-2.2800000000000001E-2"/>
    <n v="15.5"/>
    <n v="15.76"/>
    <n v="61"/>
    <n v="63.4"/>
    <n v="0"/>
    <m/>
    <s v="FAIL"/>
    <n v="0"/>
    <s v="ERP-2023-0082"/>
    <s v="ABV over-strength — blending adjustment applied"/>
  </r>
  <r>
    <s v="BTH-2023-0038"/>
    <n v="44977"/>
    <s v="SITE-04"/>
    <s v="Red Deer Grain Store"/>
    <s v="Central AB"/>
    <x v="0"/>
    <s v="Bottling"/>
    <s v="OP-04"/>
    <x v="2"/>
    <s v="Day"/>
    <n v="497"/>
    <n v="2226.4"/>
    <n v="305.5"/>
    <n v="319.5"/>
    <n v="14"/>
    <n v="4.58E-2"/>
    <n v="4.8"/>
    <n v="4.4000000000000004"/>
    <n v="68.8"/>
    <n v="66.900000000000006"/>
    <n v="1"/>
    <m/>
    <s v="PASS"/>
    <n v="1"/>
    <s v="ERP-2023-0051"/>
    <m/>
  </r>
  <r>
    <s v="BTH-2023-0039"/>
    <n v="44981"/>
    <s v="SITE-01"/>
    <s v="Calgary Distillery"/>
    <s v="Calgary Metro"/>
    <x v="2"/>
    <s v="Maturation"/>
    <s v="OP-05"/>
    <x v="0"/>
    <s v="Day"/>
    <n v="874.5"/>
    <n v="3483"/>
    <n v="519.5"/>
    <n v="550.20000000000005"/>
    <n v="30.7"/>
    <n v="5.91E-2"/>
    <n v="9.5"/>
    <n v="8.16"/>
    <n v="64.599999999999994"/>
    <n v="66.5"/>
    <n v="0"/>
    <m/>
    <s v="PASS"/>
    <n v="1"/>
    <s v="ERP-2023-0091"/>
    <m/>
  </r>
  <r>
    <s v="BTH-2023-0039"/>
    <n v="44981"/>
    <s v="SITE-01"/>
    <s v="Calgary Distillery"/>
    <s v="Calgary Metro"/>
    <x v="2"/>
    <s v="Maturation"/>
    <s v="OP-05"/>
    <x v="0"/>
    <s v="Day"/>
    <n v="874.5"/>
    <n v="3483"/>
    <n v="519.5"/>
    <n v="550.20000000000005"/>
    <n v="30.7"/>
    <n v="5.91E-2"/>
    <n v="9.5"/>
    <n v="8.16"/>
    <n v="64.599999999999994"/>
    <n v="66.5"/>
    <n v="0"/>
    <m/>
    <s v="PASS"/>
    <n v="1"/>
    <s v="ERP-2023-0091"/>
    <m/>
  </r>
  <r>
    <s v="BTH-2023-0040"/>
    <n v="44981"/>
    <s v="SITE-05"/>
    <s v="Canmore Barrel House"/>
    <s v="Foothills AB"/>
    <x v="1"/>
    <s v="Fermentation"/>
    <s v="OP-05"/>
    <x v="0"/>
    <s v="Night"/>
    <n v="870.2"/>
    <n v="4589.7"/>
    <n v="564.5"/>
    <n v="569.29999999999995"/>
    <n v="4.8"/>
    <n v="8.5000000000000006E-3"/>
    <n v="14"/>
    <n v="14.49"/>
    <n v="68.3"/>
    <n v="69.400000000000006"/>
    <n v="3"/>
    <s v="Cooling water interruption"/>
    <s v="FAIL"/>
    <n v="0"/>
    <s v="ERP-2023-0164"/>
    <s v="Extended downtime — operations manager notified"/>
  </r>
  <r>
    <s v="BTH-2023-0041"/>
    <n v="44983"/>
    <s v="SITE-03"/>
    <s v="Airdrie Bottling Facility"/>
    <s v="Central AB"/>
    <x v="1"/>
    <s v="Mashing"/>
    <s v="OP-02"/>
    <x v="1"/>
    <s v="Day"/>
    <n v="452.7"/>
    <n v="2190.8000000000002"/>
    <n v="259.8"/>
    <n v="262.60000000000002"/>
    <n v="2.8"/>
    <n v="1.0800000000000001E-2"/>
    <n v="14.6"/>
    <n v="14.69"/>
    <n v="69.3"/>
    <n v="67.099999999999994"/>
    <n v="0"/>
    <m/>
    <s v="PASS"/>
    <n v="1"/>
    <s v="ERP-2023-0107"/>
    <s v="ABV under-strength — batch held pending QC review"/>
  </r>
  <r>
    <s v="BTH-2023-0042"/>
    <n v="44984"/>
    <s v="SITE-02"/>
    <s v="Okotoks Malting Plant"/>
    <s v="South AB"/>
    <x v="1"/>
    <s v="Bottling"/>
    <s v="OP-02"/>
    <x v="1"/>
    <s v="Day"/>
    <n v="1163.7"/>
    <n v="5868.3"/>
    <n v="690.3"/>
    <n v="710.2"/>
    <n v="19.899999999999999"/>
    <n v="2.8799999999999999E-2"/>
    <n v="17.399999999999999"/>
    <n v="21.93"/>
    <n v="60.4"/>
    <n v="59"/>
    <n v="2"/>
    <s v="Yeast propagation delay"/>
    <s v="PASS"/>
    <n v="1"/>
    <s v="ERP-2023-0052"/>
    <m/>
  </r>
  <r>
    <s v="BTH-2023-0043"/>
    <n v="44986"/>
    <s v="SITE-01"/>
    <s v="Calgary Distillery"/>
    <s v="Calgary Metro"/>
    <x v="3"/>
    <s v="Mashing"/>
    <s v="OP-03"/>
    <x v="4"/>
    <s v="Night"/>
    <n v="807"/>
    <n v="3210.7"/>
    <n v="486"/>
    <n v="487.4"/>
    <n v="1.4"/>
    <n v="2.8999999999999998E-3"/>
    <n v="14.3"/>
    <n v="12.37"/>
    <n v="60.6"/>
    <n v="62.2"/>
    <n v="0"/>
    <m/>
    <s v="FAIL"/>
    <n v="0"/>
    <s v="ERP-2023-0172"/>
    <m/>
  </r>
  <r>
    <s v="BTH-2023-0043"/>
    <n v="44986"/>
    <s v="SITE-01"/>
    <s v="Calgary Distillery"/>
    <s v="Calgary Metro"/>
    <x v="3"/>
    <s v="Mashing"/>
    <s v="OP-03"/>
    <x v="4"/>
    <s v="Night"/>
    <n v="807"/>
    <n v="3210.7"/>
    <n v="486"/>
    <n v="487.4"/>
    <n v="1.4"/>
    <n v="2.8999999999999998E-3"/>
    <n v="14.3"/>
    <n v="12.37"/>
    <n v="60.6"/>
    <n v="62.2"/>
    <n v="0"/>
    <m/>
    <s v="FAIL"/>
    <n v="0"/>
    <s v="ERP-2023-0172"/>
    <m/>
  </r>
  <r>
    <s v="BTH-2023-0044"/>
    <n v="44987"/>
    <s v="SITE-02"/>
    <s v="Okotoks Malting Plant"/>
    <s v="South AB"/>
    <x v="3"/>
    <s v="Mashing"/>
    <s v="OP-05"/>
    <x v="0"/>
    <s v="Night"/>
    <n v="727"/>
    <n v="3650.3"/>
    <n v="453.4"/>
    <n v="452.8"/>
    <n v="-0.6"/>
    <n v="-1.2999999999999999E-3"/>
    <n v="11.1"/>
    <n v="12.14"/>
    <n v="62.4"/>
    <n v="63.4"/>
    <n v="0"/>
    <m/>
    <s v="PASS"/>
    <n v="1"/>
    <s v="ERP-2023-0154"/>
    <m/>
  </r>
  <r>
    <s v="BTH-2023-0045"/>
    <n v="44990"/>
    <s v="SITE-04"/>
    <s v="Red Deer Grain Store"/>
    <s v="Central AB"/>
    <x v="4"/>
    <s v="Mashing"/>
    <s v="OP-01"/>
    <x v="3"/>
    <s v="Night"/>
    <n v="531.20000000000005"/>
    <n v="2585.4"/>
    <n v="368.6"/>
    <n v="376.1"/>
    <n v="7.5"/>
    <n v="2.0299999999999999E-2"/>
    <n v="17.600000000000001"/>
    <n v="18.059999999999999"/>
    <n v="62.7"/>
    <n v="61.3"/>
    <n v="0"/>
    <m/>
    <s v="PASS"/>
    <n v="1"/>
    <s v="ERP-2023-0020"/>
    <m/>
  </r>
  <r>
    <s v="BTH-2023-0046"/>
    <n v="44990"/>
    <s v="SITE-01"/>
    <s v="Calgary Distillery"/>
    <s v="Calgary Metro"/>
    <x v="1"/>
    <s v="Mashing"/>
    <s v="OP-03"/>
    <x v="4"/>
    <s v="Night"/>
    <n v="712.9"/>
    <n v="3761.9"/>
    <n v="464.5"/>
    <n v="459.8"/>
    <n v="-4.7"/>
    <n v="-1.01E-2"/>
    <n v="14.8"/>
    <n v="14.56"/>
    <n v="64.5"/>
    <n v="64.5"/>
    <n v="3"/>
    <s v="Scheduled CIP cleaning"/>
    <s v="FAIL"/>
    <n v="0"/>
    <s v="ERP-2023-0033"/>
    <s v="Extended downtime — operations manager notified"/>
  </r>
  <r>
    <s v="BTH-2023-0046"/>
    <n v="44990"/>
    <s v="SITE-01"/>
    <s v="Calgary Distillery"/>
    <s v="Calgary Metro"/>
    <x v="1"/>
    <s v="Mashing"/>
    <s v="OP-03"/>
    <x v="4"/>
    <s v="Night"/>
    <n v="712.9"/>
    <n v="3761.9"/>
    <n v="464.5"/>
    <n v="459.8"/>
    <n v="-4.7"/>
    <n v="-1.01E-2"/>
    <n v="14.8"/>
    <n v="14.56"/>
    <n v="64.5"/>
    <n v="64.5"/>
    <n v="3"/>
    <s v="Scheduled CIP cleaning"/>
    <s v="FAIL"/>
    <n v="0"/>
    <s v="ERP-2023-0033"/>
    <s v="Extended downtime — operations manager notified"/>
  </r>
  <r>
    <s v="BTH-2023-0047"/>
    <n v="44991"/>
    <s v="SITE-03"/>
    <s v="Airdrie Bottling Facility"/>
    <s v="Central AB"/>
    <x v="4"/>
    <s v="Fermentation"/>
    <s v="OP-04"/>
    <x v="2"/>
    <s v="Night"/>
    <n v="706.4"/>
    <n v="3564.3"/>
    <n v="419.8"/>
    <n v="431.3"/>
    <n v="11.5"/>
    <n v="2.7400000000000001E-2"/>
    <n v="12.4"/>
    <n v="13.79"/>
    <n v="67.3"/>
    <n v="68.3"/>
    <n v="1"/>
    <s v="Scheduled CIP cleaning"/>
    <s v="PASS"/>
    <n v="1"/>
    <s v="ERP-2023-0088"/>
    <m/>
  </r>
  <r>
    <s v="BTH-2023-0048"/>
    <n v="44992"/>
    <s v="SITE-05"/>
    <s v="Canmore Barrel House"/>
    <s v="Foothills AB"/>
    <x v="3"/>
    <s v="Maturation"/>
    <s v="OP-03"/>
    <x v="4"/>
    <s v="Night"/>
    <n v="421.4"/>
    <n v="1945.7"/>
    <n v="297.39999999999998"/>
    <n v="297.3"/>
    <n v="-0.1"/>
    <n v="-2.9999999999999997E-4"/>
    <n v="6.6"/>
    <n v="5.81"/>
    <n v="64.3"/>
    <n v="63.9"/>
    <n v="2"/>
    <m/>
    <s v="PASS"/>
    <n v="1"/>
    <s v="ERP-2023-0101"/>
    <m/>
  </r>
  <r>
    <s v="BTH-2023-0049"/>
    <n v="44995"/>
    <s v="SITE-04"/>
    <s v="Red Deer Grain Store"/>
    <s v="Central AB"/>
    <x v="3"/>
    <s v="Fermentation"/>
    <s v="OP-03"/>
    <x v="4"/>
    <s v="Day"/>
    <n v="921.2"/>
    <n v="4462.8"/>
    <n v="585.70000000000005"/>
    <n v="619.20000000000005"/>
    <n v="33.5"/>
    <n v="5.7200000000000001E-2"/>
    <n v="7.3"/>
    <n v="8.14"/>
    <n v="66.900000000000006"/>
    <n v="66.5"/>
    <n v="1"/>
    <m/>
    <s v="PASS"/>
    <n v="1"/>
    <s v="ERP-2023-0024"/>
    <m/>
  </r>
  <r>
    <s v="BTH-2023-0050"/>
    <n v="44996"/>
    <s v="SITE-01"/>
    <s v="Calgary Distillery"/>
    <s v="Calgary Metro"/>
    <x v="0"/>
    <s v="Fermentation"/>
    <s v="OP-05"/>
    <x v="0"/>
    <s v="Day"/>
    <n v="1106.9000000000001"/>
    <n v="5043.3"/>
    <n v="707.3"/>
    <n v="716.5"/>
    <n v="9.1999999999999993"/>
    <n v="1.2999999999999999E-2"/>
    <n v="15.2"/>
    <n v="14.73"/>
    <n v="61.9"/>
    <n v="61.2"/>
    <n v="2"/>
    <s v="Still head gasket failure"/>
    <s v="PASS"/>
    <n v="1"/>
    <s v="ERP-2023-0065"/>
    <m/>
  </r>
  <r>
    <s v="BTH-2023-0050"/>
    <n v="44996"/>
    <s v="SITE-01"/>
    <s v="Calgary Distillery"/>
    <s v="Calgary Metro"/>
    <x v="0"/>
    <s v="Fermentation"/>
    <s v="OP-05"/>
    <x v="0"/>
    <s v="Day"/>
    <n v="1106.9000000000001"/>
    <n v="5043.3"/>
    <n v="707.3"/>
    <n v="716.5"/>
    <n v="9.1999999999999993"/>
    <n v="1.2999999999999999E-2"/>
    <n v="15.2"/>
    <n v="14.73"/>
    <n v="61.9"/>
    <n v="61.2"/>
    <n v="2"/>
    <s v="Still head gasket failure"/>
    <s v="PASS"/>
    <n v="1"/>
    <s v="ERP-2023-0065"/>
    <m/>
  </r>
  <r>
    <s v="BTH-2023-0051"/>
    <n v="44997"/>
    <s v="SITE-05"/>
    <s v="Canmore Barrel House"/>
    <s v="Foothills AB"/>
    <x v="3"/>
    <s v="Distillation"/>
    <s v="OP-03"/>
    <x v="4"/>
    <s v="Night"/>
    <n v="941.1"/>
    <n v="4945.8999999999996"/>
    <n v="615.6"/>
    <n v="594.6"/>
    <n v="-21"/>
    <n v="-3.4099999999999998E-2"/>
    <n v="7.6"/>
    <n v="9.6999999999999993"/>
    <n v="68.099999999999994"/>
    <n v="67.099999999999994"/>
    <n v="0"/>
    <m/>
    <s v="PASS"/>
    <n v="1"/>
    <s v="ERP-2023-0191"/>
    <m/>
  </r>
  <r>
    <s v="BTH-2023-0052"/>
    <n v="44998"/>
    <s v="SITE-02"/>
    <s v="Okotoks Malting Plant"/>
    <s v="South AB"/>
    <x v="2"/>
    <s v="Maturation"/>
    <s v="OP-03"/>
    <x v="4"/>
    <s v="Day"/>
    <n v="867.9"/>
    <n v="4031.3"/>
    <n v="548.1"/>
    <n v="548.5"/>
    <n v="0.4"/>
    <n v="6.9999999999999999E-4"/>
    <n v="9.6999999999999993"/>
    <n v="12.46"/>
    <n v="67.5"/>
    <n v="65.099999999999994"/>
    <n v="0"/>
    <m/>
    <s v="FAIL"/>
    <n v="0"/>
    <s v="ERP-2023-0075"/>
    <s v="ABV under-strength — batch held pending QC review"/>
  </r>
  <r>
    <s v="BTH-2023-0053"/>
    <n v="45000"/>
    <s v="SITE-03"/>
    <s v="Airdrie Bottling Facility"/>
    <s v="Central AB"/>
    <x v="4"/>
    <s v="Bottling"/>
    <s v="OP-03"/>
    <x v="4"/>
    <s v="Night"/>
    <n v="863.4"/>
    <n v="3518.5"/>
    <n v="497.8"/>
    <n v="497.7"/>
    <n v="-0.1"/>
    <n v="-2.0000000000000001E-4"/>
    <n v="6.5"/>
    <n v="7.42"/>
    <n v="69.8"/>
    <n v="68.900000000000006"/>
    <n v="0"/>
    <m/>
    <s v="PASS"/>
    <n v="1"/>
    <s v="ERP-2023-0200"/>
    <m/>
  </r>
  <r>
    <s v="BTH-2023-0054"/>
    <n v="45001"/>
    <s v="SITE-01"/>
    <s v="Calgary Distillery"/>
    <s v="Calgary Metro"/>
    <x v="3"/>
    <s v="Distillation"/>
    <s v="OP-03"/>
    <x v="4"/>
    <s v="Night"/>
    <n v="597.79999999999995"/>
    <n v="3199.2"/>
    <n v="335.1"/>
    <n v="330.6"/>
    <n v="-4.5"/>
    <n v="-1.34E-2"/>
    <n v="15.5"/>
    <n v="13.18"/>
    <n v="65.599999999999994"/>
    <n v="63.1"/>
    <n v="2"/>
    <m/>
    <s v="PASS"/>
    <n v="1"/>
    <s v="ERP-2023-0058"/>
    <s v="ABV under-strength — batch held pending QC review"/>
  </r>
  <r>
    <s v="BTH-2023-0054"/>
    <n v="45001"/>
    <s v="SITE-01"/>
    <s v="Calgary Distillery"/>
    <s v="Calgary Metro"/>
    <x v="3"/>
    <s v="Distillation"/>
    <s v="OP-03"/>
    <x v="4"/>
    <s v="Night"/>
    <n v="597.79999999999995"/>
    <n v="3199.2"/>
    <n v="335.1"/>
    <n v="330.6"/>
    <n v="-4.5"/>
    <n v="-1.34E-2"/>
    <n v="15.5"/>
    <n v="13.18"/>
    <n v="65.599999999999994"/>
    <n v="63.1"/>
    <n v="2"/>
    <m/>
    <s v="PASS"/>
    <n v="1"/>
    <s v="ERP-2023-0058"/>
    <s v="ABV under-strength — batch held pending QC review"/>
  </r>
  <r>
    <s v="BTH-2023-0055"/>
    <n v="45001"/>
    <s v="SITE-04"/>
    <s v="Red Deer Grain Store"/>
    <s v="Central AB"/>
    <x v="1"/>
    <s v="Blending"/>
    <s v="OP-01"/>
    <x v="3"/>
    <s v="Day"/>
    <n v="808.7"/>
    <n v="3209"/>
    <n v="485.8"/>
    <n v="524"/>
    <n v="38.200000000000003"/>
    <n v="7.8600000000000003E-2"/>
    <n v="14.1"/>
    <n v="12.73"/>
    <n v="62.3"/>
    <n v="63.6"/>
    <n v="1"/>
    <m/>
    <s v="PASS"/>
    <n v="1"/>
    <s v="ERP-2023-0126"/>
    <m/>
  </r>
  <r>
    <s v="BTH-2023-0056"/>
    <n v="45002"/>
    <s v="SITE-01"/>
    <s v="Calgary Distillery"/>
    <s v="Calgary Metro"/>
    <x v="2"/>
    <s v="Bottling"/>
    <s v="OP-02"/>
    <x v="1"/>
    <s v="Day"/>
    <n v="492.8"/>
    <n v="2172.6"/>
    <n v="332.1"/>
    <n v="327.5"/>
    <n v="-4.5999999999999996"/>
    <n v="-1.3899999999999999E-2"/>
    <n v="13.1"/>
    <n v="13.8"/>
    <n v="69.599999999999994"/>
    <n v="70.2"/>
    <n v="0"/>
    <m/>
    <s v="PASS"/>
    <n v="1"/>
    <s v="ERP-2023-0171"/>
    <m/>
  </r>
  <r>
    <s v="BTH-2023-0056"/>
    <n v="45002"/>
    <s v="SITE-01"/>
    <s v="Calgary Distillery"/>
    <s v="Calgary Metro"/>
    <x v="2"/>
    <s v="Bottling"/>
    <s v="OP-02"/>
    <x v="1"/>
    <s v="Day"/>
    <n v="492.8"/>
    <n v="2172.6"/>
    <n v="332.1"/>
    <n v="327.5"/>
    <n v="-4.5999999999999996"/>
    <n v="-1.3899999999999999E-2"/>
    <n v="13.1"/>
    <n v="13.8"/>
    <n v="69.599999999999994"/>
    <n v="70.2"/>
    <n v="0"/>
    <m/>
    <s v="PASS"/>
    <n v="1"/>
    <s v="ERP-2023-0171"/>
    <m/>
  </r>
  <r>
    <s v="BTH-2023-0057"/>
    <n v="45003"/>
    <s v="SITE-05"/>
    <s v="Canmore Barrel House"/>
    <s v="Foothills AB"/>
    <x v="3"/>
    <s v="Bottling"/>
    <s v="OP-01"/>
    <x v="3"/>
    <s v="Night"/>
    <n v="745.7"/>
    <n v="3230.6"/>
    <n v="483.2"/>
    <n v="482.5"/>
    <n v="-0.7"/>
    <n v="-1.4E-3"/>
    <n v="4.9000000000000004"/>
    <n v="6.01"/>
    <n v="67.2"/>
    <n v="69.5"/>
    <n v="0"/>
    <m/>
    <s v="PASS"/>
    <n v="1"/>
    <s v="ERP-2023-0175"/>
    <s v="ABV over-strength — blending adjustment applied"/>
  </r>
  <r>
    <s v="BTH-2023-0058"/>
    <n v="45009"/>
    <s v="SITE-05"/>
    <s v="Canmore Barrel House"/>
    <s v="Foothills AB"/>
    <x v="1"/>
    <s v="Fermentation"/>
    <s v="OP-04"/>
    <x v="2"/>
    <s v="Day"/>
    <n v="981.3"/>
    <n v="4844.3"/>
    <n v="647.1"/>
    <n v="692.5"/>
    <n v="45.4"/>
    <n v="7.0199999999999999E-2"/>
    <n v="4.5999999999999996"/>
    <n v="4.5999999999999996"/>
    <n v="62.2"/>
    <n v="61"/>
    <n v="0"/>
    <m/>
    <s v="PASS"/>
    <n v="1"/>
    <s v="ERP-2023-0137"/>
    <m/>
  </r>
  <r>
    <s v="BTH-2023-0059"/>
    <n v="45011"/>
    <s v="SITE-05"/>
    <s v="Canmore Barrel House"/>
    <s v="Foothills AB"/>
    <x v="3"/>
    <s v="Distillation"/>
    <s v="OP-04"/>
    <x v="2"/>
    <s v="Day"/>
    <n v="782.5"/>
    <n v="3696.9"/>
    <n v="479.5"/>
    <n v="468.3"/>
    <n v="-11.2"/>
    <n v="-2.3400000000000001E-2"/>
    <n v="10.8"/>
    <n v="13.28"/>
    <n v="61"/>
    <n v="61.6"/>
    <n v="0"/>
    <m/>
    <s v="PASS"/>
    <n v="1"/>
    <s v="ERP-2023-0023"/>
    <m/>
  </r>
  <r>
    <s v="BTH-2023-0060"/>
    <n v="45012"/>
    <s v="SITE-01"/>
    <s v="Calgary Distillery"/>
    <s v="Calgary Metro"/>
    <x v="2"/>
    <s v="Distillation"/>
    <s v="OP-02"/>
    <x v="1"/>
    <s v="Night"/>
    <n v="614.9"/>
    <n v="3056.3"/>
    <n v="356.9"/>
    <n v="377.9"/>
    <n v="21"/>
    <n v="5.8799999999999998E-2"/>
    <n v="16.3"/>
    <n v="13.26"/>
    <n v="60.6"/>
    <n v="58.3"/>
    <n v="0"/>
    <m/>
    <s v="FAIL"/>
    <n v="0"/>
    <s v="ERP-2023-0057"/>
    <s v="ABV under-strength — batch held pending QC review"/>
  </r>
  <r>
    <s v="BTH-2023-0060"/>
    <n v="45012"/>
    <s v="SITE-01"/>
    <s v="Calgary Distillery"/>
    <s v="Calgary Metro"/>
    <x v="2"/>
    <s v="Distillation"/>
    <s v="OP-02"/>
    <x v="1"/>
    <s v="Night"/>
    <n v="614.9"/>
    <n v="3056.3"/>
    <n v="356.9"/>
    <n v="377.9"/>
    <n v="21"/>
    <n v="5.8799999999999998E-2"/>
    <n v="16.3"/>
    <n v="13.26"/>
    <n v="60.6"/>
    <n v="58.3"/>
    <n v="0"/>
    <m/>
    <s v="FAIL"/>
    <n v="0"/>
    <s v="ERP-2023-0057"/>
    <s v="ABV under-strength — batch held pending QC review"/>
  </r>
  <r>
    <s v="BTH-2023-0061"/>
    <n v="45013"/>
    <s v="SITE-04"/>
    <s v="Red Deer Grain Store"/>
    <s v="Central AB"/>
    <x v="0"/>
    <s v="Distillation"/>
    <s v="OP-04"/>
    <x v="2"/>
    <s v="Night"/>
    <n v="685.8"/>
    <n v="3084.7"/>
    <n v="386.7"/>
    <n v="344.7"/>
    <n v="-42"/>
    <n v="-0.1086"/>
    <n v="4.0999999999999996"/>
    <n v="4.78"/>
    <n v="68"/>
    <n v="70.099999999999994"/>
    <n v="0"/>
    <m/>
    <s v="PASS"/>
    <n v="1"/>
    <s v="ERP-2023-0193"/>
    <s v="Yield below threshold — reviewed with production lead"/>
  </r>
  <r>
    <s v="BTH-2023-0062"/>
    <n v="45014"/>
    <s v="SITE-04"/>
    <s v="Red Deer Grain Store"/>
    <s v="Central AB"/>
    <x v="1"/>
    <s v="Fermentation"/>
    <s v="OP-02"/>
    <x v="1"/>
    <s v="Night"/>
    <n v="1150.4000000000001"/>
    <n v="5423.5"/>
    <n v="726.4"/>
    <n v="743.7"/>
    <n v="17.3"/>
    <n v="2.3800000000000002E-2"/>
    <n v="4"/>
    <n v="4.3499999999999996"/>
    <n v="62"/>
    <n v="61.5"/>
    <n v="0"/>
    <m/>
    <s v="PASS"/>
    <n v="1"/>
    <s v="ERP-2023-0150"/>
    <m/>
  </r>
  <r>
    <s v="BTH-2023-0063"/>
    <n v="45016"/>
    <s v="SITE-01"/>
    <s v="Calgary Distillery"/>
    <s v="Calgary Metro"/>
    <x v="4"/>
    <s v="Maturation"/>
    <s v="OP-04"/>
    <x v="2"/>
    <s v="Night"/>
    <n v="698.1"/>
    <n v="3339.1"/>
    <n v="493.4"/>
    <n v="486.5"/>
    <n v="-6.9"/>
    <n v="-1.4E-2"/>
    <n v="17.7"/>
    <n v="17.899999999999999"/>
    <n v="60.6"/>
    <n v="61.5"/>
    <n v="0"/>
    <m/>
    <s v="PASS"/>
    <n v="1"/>
    <s v="ERP-2023-0039"/>
    <m/>
  </r>
  <r>
    <s v="BTH-2023-0063"/>
    <n v="45016"/>
    <s v="SITE-01"/>
    <s v="Calgary Distillery"/>
    <s v="Calgary Metro"/>
    <x v="4"/>
    <s v="Maturation"/>
    <s v="OP-04"/>
    <x v="2"/>
    <s v="Night"/>
    <n v="698.1"/>
    <n v="3339.1"/>
    <n v="493.4"/>
    <n v="486.5"/>
    <n v="-6.9"/>
    <n v="-1.4E-2"/>
    <n v="17.7"/>
    <n v="17.899999999999999"/>
    <n v="60.6"/>
    <n v="61.5"/>
    <n v="0"/>
    <m/>
    <s v="PASS"/>
    <n v="1"/>
    <s v="ERP-2023-0039"/>
    <m/>
  </r>
  <r>
    <s v="BTH-2023-0064"/>
    <n v="45020"/>
    <s v="SITE-02"/>
    <s v="Okotoks Malting Plant"/>
    <s v="South AB"/>
    <x v="2"/>
    <s v="Fermentation"/>
    <s v="OP-04"/>
    <x v="2"/>
    <s v="Day"/>
    <n v="647.79999999999995"/>
    <n v="2506.6"/>
    <n v="402.4"/>
    <n v="395.9"/>
    <n v="-6.5"/>
    <n v="-1.6199999999999999E-2"/>
    <n v="17.3"/>
    <n v="16.989999999999998"/>
    <n v="68.5"/>
    <n v="69.599999999999994"/>
    <n v="0"/>
    <m/>
    <s v="PASS"/>
    <n v="1"/>
    <s v="ERP-2023-0032"/>
    <m/>
  </r>
  <r>
    <s v="BTH-2023-0065"/>
    <n v="45021"/>
    <s v="SITE-01"/>
    <s v="Calgary Distillery"/>
    <s v="Calgary Metro"/>
    <x v="0"/>
    <s v="Mashing"/>
    <s v="OP-04"/>
    <x v="2"/>
    <s v="Night"/>
    <n v="572.20000000000005"/>
    <n v="3119.5"/>
    <n v="357.3"/>
    <n v="367.2"/>
    <n v="9.9"/>
    <n v="2.7699999999999999E-2"/>
    <n v="13.1"/>
    <n v="18.28"/>
    <n v="64.3"/>
    <n v="66.2"/>
    <n v="0"/>
    <m/>
    <s v="FAIL"/>
    <n v="0"/>
    <s v="ERP-2023-0049"/>
    <m/>
  </r>
  <r>
    <s v="BTH-2023-0065"/>
    <n v="45021"/>
    <s v="SITE-01"/>
    <s v="Calgary Distillery"/>
    <s v="Calgary Metro"/>
    <x v="0"/>
    <s v="Mashing"/>
    <s v="OP-04"/>
    <x v="2"/>
    <s v="Night"/>
    <n v="572.20000000000005"/>
    <n v="3119.5"/>
    <n v="357.3"/>
    <n v="367.2"/>
    <n v="9.9"/>
    <n v="2.7699999999999999E-2"/>
    <n v="13.1"/>
    <n v="18.28"/>
    <n v="64.3"/>
    <n v="66.2"/>
    <n v="0"/>
    <m/>
    <s v="FAIL"/>
    <n v="0"/>
    <s v="ERP-2023-0049"/>
    <m/>
  </r>
  <r>
    <s v="BTH-2023-0066"/>
    <n v="45021"/>
    <s v="SITE-04"/>
    <s v="Red Deer Grain Store"/>
    <s v="Central AB"/>
    <x v="4"/>
    <s v="Distillation"/>
    <s v="OP-01"/>
    <x v="3"/>
    <s v="Night"/>
    <n v="548.20000000000005"/>
    <n v="2436.9"/>
    <n v="331.4"/>
    <n v="340.2"/>
    <n v="8.8000000000000007"/>
    <n v="2.6599999999999999E-2"/>
    <n v="10.1"/>
    <n v="11.64"/>
    <n v="62.6"/>
    <n v="64.400000000000006"/>
    <n v="2"/>
    <m/>
    <s v="PASS"/>
    <n v="1"/>
    <s v="ERP-2023-0094"/>
    <m/>
  </r>
  <r>
    <s v="BTH-2023-0067"/>
    <n v="45023"/>
    <s v="SITE-02"/>
    <s v="Okotoks Malting Plant"/>
    <s v="South AB"/>
    <x v="1"/>
    <s v="Mashing"/>
    <s v="OP-03"/>
    <x v="4"/>
    <s v="Day"/>
    <n v="1191.5"/>
    <n v="6461.7"/>
    <n v="831.3"/>
    <n v="855.6"/>
    <n v="24.3"/>
    <n v="2.92E-2"/>
    <n v="12.7"/>
    <n v="14.02"/>
    <n v="69.2"/>
    <n v="69.900000000000006"/>
    <n v="3"/>
    <s v="Cooling water interruption"/>
    <s v="FAIL"/>
    <n v="0"/>
    <s v="ERP-2023-0116"/>
    <s v="Extended downtime — operations manager notified"/>
  </r>
  <r>
    <s v="BTH-2023-0068"/>
    <n v="45026"/>
    <s v="SITE-01"/>
    <s v="Calgary Distillery"/>
    <s v="Calgary Metro"/>
    <x v="4"/>
    <s v="Maturation"/>
    <s v="OP-02"/>
    <x v="1"/>
    <s v="Night"/>
    <n v="768.7"/>
    <n v="2888"/>
    <n v="439.9"/>
    <n v="449.8"/>
    <n v="9.9"/>
    <n v="2.2499999999999999E-2"/>
    <n v="13.8"/>
    <n v="14.5"/>
    <n v="69.5"/>
    <n v="67.900000000000006"/>
    <n v="0"/>
    <m/>
    <s v="PASS"/>
    <n v="1"/>
    <s v="ERP-2023-0013"/>
    <m/>
  </r>
  <r>
    <s v="BTH-2023-0068"/>
    <n v="45026"/>
    <s v="SITE-01"/>
    <s v="Calgary Distillery"/>
    <s v="Calgary Metro"/>
    <x v="4"/>
    <s v="Maturation"/>
    <s v="OP-02"/>
    <x v="1"/>
    <s v="Night"/>
    <n v="768.7"/>
    <n v="2888"/>
    <n v="439.9"/>
    <n v="449.8"/>
    <n v="9.9"/>
    <n v="2.2499999999999999E-2"/>
    <n v="13.8"/>
    <n v="14.5"/>
    <n v="69.5"/>
    <n v="67.900000000000006"/>
    <n v="0"/>
    <m/>
    <s v="PASS"/>
    <n v="1"/>
    <s v="ERP-2023-0013"/>
    <m/>
  </r>
  <r>
    <s v="BTH-2023-0069"/>
    <n v="45026"/>
    <s v="SITE-02"/>
    <s v="Okotoks Malting Plant"/>
    <s v="South AB"/>
    <x v="0"/>
    <s v="Blending"/>
    <s v="OP-01"/>
    <x v="3"/>
    <s v="Night"/>
    <n v="483.7"/>
    <n v="2544"/>
    <n v="291.10000000000002"/>
    <n v="298.7"/>
    <n v="7.6"/>
    <n v="2.6100000000000002E-2"/>
    <n v="14.9"/>
    <n v="19.760000000000002"/>
    <n v="67.400000000000006"/>
    <n v="69.900000000000006"/>
    <n v="2"/>
    <s v="Cooling water interruption"/>
    <s v="FAIL"/>
    <n v="0"/>
    <s v="ERP-2023-0069"/>
    <s v="ABV over-strength — blending adjustment applied"/>
  </r>
  <r>
    <s v="BTH-2023-0070"/>
    <n v="45026"/>
    <s v="SITE-03"/>
    <s v="Airdrie Bottling Facility"/>
    <s v="Central AB"/>
    <x v="2"/>
    <s v="Mashing"/>
    <s v="OP-02"/>
    <x v="1"/>
    <s v="Night"/>
    <n v="636.6"/>
    <n v="2698.4"/>
    <n v="435.4"/>
    <n v="463.2"/>
    <n v="27.8"/>
    <n v="6.3799999999999996E-2"/>
    <n v="6.2"/>
    <n v="8.68"/>
    <n v="60.7"/>
    <n v="63.1"/>
    <n v="2"/>
    <m/>
    <s v="PASS"/>
    <n v="1"/>
    <s v="ERP-2023-0076"/>
    <s v="ABV over-strength — blending adjustment applied"/>
  </r>
  <r>
    <s v="BTH-2023-0071"/>
    <n v="45026"/>
    <s v="SITE-02"/>
    <s v="Okotoks Malting Plant"/>
    <s v="South AB"/>
    <x v="1"/>
    <s v="Maturation"/>
    <s v="OP-05"/>
    <x v="0"/>
    <s v="Night"/>
    <n v="898"/>
    <n v="4382.5"/>
    <n v="562.70000000000005"/>
    <n v="533.79999999999995"/>
    <n v="-28.9"/>
    <n v="-5.1400000000000001E-2"/>
    <n v="10.199999999999999"/>
    <n v="8.82"/>
    <n v="60.6"/>
    <n v="61.1"/>
    <n v="0"/>
    <m/>
    <s v="PASS"/>
    <n v="1"/>
    <s v="ERP-2023-0121"/>
    <m/>
  </r>
  <r>
    <s v="BTH-2023-0072"/>
    <n v="45030"/>
    <s v="SITE-02"/>
    <s v="Okotoks Malting Plant"/>
    <s v="South AB"/>
    <x v="3"/>
    <s v="Bottling"/>
    <s v="OP-04"/>
    <x v="2"/>
    <s v="Day"/>
    <n v="870.4"/>
    <n v="4700.5"/>
    <n v="517.9"/>
    <n v="513"/>
    <n v="-4.9000000000000004"/>
    <n v="-9.4999999999999998E-3"/>
    <n v="11.2"/>
    <n v="15.2"/>
    <n v="60.2"/>
    <n v="60.8"/>
    <n v="3"/>
    <m/>
    <s v="FAIL"/>
    <n v="0"/>
    <s v="ERP-2023-0063"/>
    <s v="Extended downtime — operations manager notified"/>
  </r>
  <r>
    <s v="BTH-2023-0073"/>
    <n v="45030"/>
    <s v="SITE-04"/>
    <s v="Red Deer Grain Store"/>
    <s v="Central AB"/>
    <x v="1"/>
    <s v="Maturation"/>
    <s v="OP-01"/>
    <x v="3"/>
    <s v="Day"/>
    <n v="470"/>
    <n v="1704.7"/>
    <n v="306.2"/>
    <n v="304.39999999999998"/>
    <n v="-1.8"/>
    <n v="-5.8999999999999999E-3"/>
    <n v="16.399999999999999"/>
    <n v="20.74"/>
    <n v="68.400000000000006"/>
    <n v="67.599999999999994"/>
    <n v="1"/>
    <s v="Power fluctuation"/>
    <s v="PASS"/>
    <n v="1"/>
    <s v="ERP-2023-0131"/>
    <m/>
  </r>
  <r>
    <s v="BTH-2023-0074"/>
    <n v="45031"/>
    <s v="SITE-03"/>
    <s v="Airdrie Bottling Facility"/>
    <s v="Central AB"/>
    <x v="1"/>
    <s v="Mashing"/>
    <s v="OP-04"/>
    <x v="2"/>
    <s v="Day"/>
    <n v="884.4"/>
    <n v="4823"/>
    <n v="540.20000000000005"/>
    <n v="532.70000000000005"/>
    <n v="-7.5"/>
    <n v="-1.3899999999999999E-2"/>
    <n v="6.3"/>
    <n v="8.0299999999999994"/>
    <n v="66"/>
    <n v="68.400000000000006"/>
    <n v="1"/>
    <m/>
    <s v="PASS"/>
    <n v="1"/>
    <s v="ERP-2023-0003"/>
    <s v="ABV over-strength — blending adjustment applied"/>
  </r>
  <r>
    <s v="BTH-2023-0075"/>
    <n v="45031"/>
    <s v="SITE-01"/>
    <s v="Calgary Distillery"/>
    <s v="Calgary Metro"/>
    <x v="1"/>
    <s v="Bottling"/>
    <s v="OP-05"/>
    <x v="0"/>
    <s v="Day"/>
    <n v="1183.4000000000001"/>
    <n v="4669.8999999999996"/>
    <n v="735"/>
    <n v="661.5"/>
    <n v="-73.5"/>
    <n v="-0.1"/>
    <n v="17"/>
    <n v="17.13"/>
    <n v="61.2"/>
    <n v="62"/>
    <n v="0"/>
    <m/>
    <s v="PASS"/>
    <n v="1"/>
    <s v="ERP-2023-0133"/>
    <s v="Yield below threshold — reviewed with production lead"/>
  </r>
  <r>
    <s v="BTH-2023-0075"/>
    <n v="45031"/>
    <s v="SITE-01"/>
    <s v="Calgary Distillery"/>
    <s v="Calgary Metro"/>
    <x v="1"/>
    <s v="Bottling"/>
    <s v="OP-05"/>
    <x v="0"/>
    <s v="Day"/>
    <n v="1183.4000000000001"/>
    <n v="4669.8999999999996"/>
    <n v="735"/>
    <n v="661.5"/>
    <n v="-73.5"/>
    <n v="-0.1"/>
    <n v="17"/>
    <n v="17.13"/>
    <n v="61.2"/>
    <n v="62"/>
    <n v="0"/>
    <m/>
    <s v="PASS"/>
    <n v="1"/>
    <s v="ERP-2023-0133"/>
    <s v="Yield below threshold — reviewed with production lead"/>
  </r>
  <r>
    <s v="BTH-2023-0076"/>
    <n v="45032"/>
    <s v="SITE-05"/>
    <s v="Canmore Barrel House"/>
    <s v="Foothills AB"/>
    <x v="2"/>
    <s v="Distillation"/>
    <s v="OP-04"/>
    <x v="2"/>
    <s v="Day"/>
    <n v="469.6"/>
    <n v="1804.6"/>
    <n v="284.10000000000002"/>
    <n v="284.8"/>
    <n v="0.7"/>
    <n v="2.5000000000000001E-3"/>
    <n v="7.2"/>
    <n v="8.7200000000000006"/>
    <n v="68.599999999999994"/>
    <n v="68.3"/>
    <n v="0"/>
    <m/>
    <s v="PASS"/>
    <n v="1"/>
    <s v="ERP-2023-0106"/>
    <m/>
  </r>
  <r>
    <s v="BTH-2023-0077"/>
    <n v="45033"/>
    <s v="SITE-05"/>
    <s v="Canmore Barrel House"/>
    <s v="Foothills AB"/>
    <x v="1"/>
    <s v="Maturation"/>
    <s v="OP-04"/>
    <x v="2"/>
    <s v="Day"/>
    <n v="883"/>
    <n v="4074.8"/>
    <n v="595"/>
    <n v="599"/>
    <n v="4"/>
    <n v="6.7000000000000002E-3"/>
    <n v="4.3"/>
    <n v="5"/>
    <n v="63.4"/>
    <n v="61.5"/>
    <n v="0"/>
    <m/>
    <s v="PASS"/>
    <n v="1"/>
    <s v="ERP-2023-0037"/>
    <m/>
  </r>
  <r>
    <s v="BTH-2023-0078"/>
    <n v="45034"/>
    <s v="SITE-05"/>
    <s v="Canmore Barrel House"/>
    <s v="Foothills AB"/>
    <x v="4"/>
    <s v="Distillation"/>
    <s v="OP-01"/>
    <x v="3"/>
    <s v="Day"/>
    <n v="1112.0999999999999"/>
    <n v="5734.5"/>
    <n v="760"/>
    <n v="745.8"/>
    <n v="-14.2"/>
    <n v="-1.8700000000000001E-2"/>
    <n v="17"/>
    <n v="14.3"/>
    <n v="62.5"/>
    <n v="61.5"/>
    <n v="0"/>
    <m/>
    <s v="PASS"/>
    <n v="1"/>
    <s v="ERP-2023-0072"/>
    <m/>
  </r>
  <r>
    <s v="BTH-2023-0079"/>
    <n v="45036"/>
    <s v="SITE-05"/>
    <s v="Canmore Barrel House"/>
    <s v="Foothills AB"/>
    <x v="0"/>
    <s v="Fermentation"/>
    <s v="OP-04"/>
    <x v="2"/>
    <s v="Night"/>
    <n v="781"/>
    <n v="4027.9"/>
    <n v="475.6"/>
    <n v="495.7"/>
    <n v="20.100000000000001"/>
    <n v="4.2299999999999997E-2"/>
    <n v="4.2"/>
    <n v="4.5"/>
    <n v="61.7"/>
    <n v="64"/>
    <n v="0"/>
    <m/>
    <s v="FAIL"/>
    <n v="0"/>
    <s v="ERP-2023-0053"/>
    <s v="ABV over-strength — blending adjustment applied"/>
  </r>
  <r>
    <s v="BTH-2023-0080"/>
    <n v="45037"/>
    <s v="SITE-03"/>
    <s v="Airdrie Bottling Facility"/>
    <s v="Central AB"/>
    <x v="4"/>
    <s v="Bottling"/>
    <s v="OP-02"/>
    <x v="1"/>
    <s v="Day"/>
    <n v="769.2"/>
    <n v="2967.6"/>
    <n v="497.2"/>
    <n v="452.5"/>
    <n v="-44.7"/>
    <n v="-8.9899999999999994E-2"/>
    <n v="13.5"/>
    <n v="11.51"/>
    <n v="63.2"/>
    <n v="60.9"/>
    <n v="1"/>
    <s v="Still head gasket failure"/>
    <s v="FAIL"/>
    <n v="0"/>
    <s v="ERP-2023-0002"/>
    <s v="Yield below threshold — reviewed with production lead"/>
  </r>
  <r>
    <s v="BTH-2023-0081"/>
    <n v="45037"/>
    <s v="SITE-01"/>
    <s v="Calgary Distillery"/>
    <s v="Calgary Metro"/>
    <x v="4"/>
    <s v="Fermentation"/>
    <s v="OP-05"/>
    <x v="0"/>
    <s v="Night"/>
    <n v="797.3"/>
    <n v="3935.8"/>
    <n v="467.9"/>
    <n v="409.6"/>
    <n v="-58.3"/>
    <n v="-0.1246"/>
    <n v="17.8"/>
    <n v="18.850000000000001"/>
    <n v="68.900000000000006"/>
    <n v="71.3"/>
    <n v="1"/>
    <m/>
    <s v="FAIL"/>
    <n v="0"/>
    <s v="ERP-2023-0043"/>
    <s v="Yield below threshold — reviewed with production lead"/>
  </r>
  <r>
    <s v="BTH-2023-0081"/>
    <n v="45037"/>
    <s v="SITE-01"/>
    <s v="Calgary Distillery"/>
    <s v="Calgary Metro"/>
    <x v="4"/>
    <s v="Fermentation"/>
    <s v="OP-05"/>
    <x v="0"/>
    <s v="Night"/>
    <n v="797.3"/>
    <n v="3935.8"/>
    <n v="467.9"/>
    <n v="409.6"/>
    <n v="-58.3"/>
    <n v="-0.1246"/>
    <n v="17.8"/>
    <n v="18.850000000000001"/>
    <n v="68.900000000000006"/>
    <n v="71.3"/>
    <n v="1"/>
    <m/>
    <s v="FAIL"/>
    <n v="0"/>
    <s v="ERP-2023-0043"/>
    <s v="Yield below threshold — reviewed with production lead"/>
  </r>
  <r>
    <s v="BTH-2023-0082"/>
    <n v="45038"/>
    <s v="SITE-03"/>
    <s v="Airdrie Bottling Facility"/>
    <s v="Central AB"/>
    <x v="4"/>
    <s v="Bottling"/>
    <s v="OP-02"/>
    <x v="1"/>
    <s v="Day"/>
    <n v="843"/>
    <n v="4160.6000000000004"/>
    <n v="488.7"/>
    <n v="510"/>
    <n v="21.3"/>
    <n v="4.36E-2"/>
    <n v="15.9"/>
    <n v="12.86"/>
    <n v="60.9"/>
    <n v="58.5"/>
    <n v="0"/>
    <m/>
    <s v="PASS"/>
    <n v="1"/>
    <s v="ERP-2023-0060"/>
    <s v="ABV under-strength — batch held pending QC review"/>
  </r>
  <r>
    <s v="BTH-2023-0083"/>
    <n v="45038"/>
    <s v="SITE-02"/>
    <s v="Okotoks Malting Plant"/>
    <s v="South AB"/>
    <x v="2"/>
    <s v="Bottling"/>
    <s v="OP-05"/>
    <x v="0"/>
    <s v="Night"/>
    <n v="1097.8"/>
    <n v="4107.5"/>
    <n v="651.5"/>
    <n v="575.6"/>
    <n v="-75.900000000000006"/>
    <n v="-0.11650000000000001"/>
    <n v="13.4"/>
    <n v="13.6"/>
    <n v="66.099999999999994"/>
    <n v="68.599999999999994"/>
    <n v="0.5"/>
    <m/>
    <s v="PASS"/>
    <n v="1"/>
    <s v="ERP-2023-0097"/>
    <s v="Yield below threshold — reviewed with production lead"/>
  </r>
  <r>
    <s v="BTH-2023-0084"/>
    <n v="45039"/>
    <s v="SITE-01"/>
    <s v="Calgary Distillery"/>
    <s v="Calgary Metro"/>
    <x v="4"/>
    <s v="Distillation"/>
    <s v="OP-01"/>
    <x v="3"/>
    <s v="Night"/>
    <n v="537"/>
    <n v="1981.9"/>
    <n v="312.2"/>
    <n v="306.2"/>
    <n v="-6"/>
    <n v="-1.9199999999999998E-2"/>
    <n v="17"/>
    <n v="14.34"/>
    <n v="69.7"/>
    <n v="71.2"/>
    <n v="2"/>
    <s v="Still head gasket failure"/>
    <s v="PASS"/>
    <n v="1"/>
    <s v="ERP-2023-0138"/>
    <m/>
  </r>
  <r>
    <s v="BTH-2023-0084"/>
    <n v="45039"/>
    <s v="SITE-01"/>
    <s v="Calgary Distillery"/>
    <s v="Calgary Metro"/>
    <x v="4"/>
    <s v="Distillation"/>
    <s v="OP-01"/>
    <x v="3"/>
    <s v="Night"/>
    <n v="537"/>
    <n v="1981.9"/>
    <n v="312.2"/>
    <n v="306.2"/>
    <n v="-6"/>
    <n v="-1.9199999999999998E-2"/>
    <n v="17"/>
    <n v="14.34"/>
    <n v="69.7"/>
    <n v="71.2"/>
    <n v="2"/>
    <s v="Still head gasket failure"/>
    <s v="PASS"/>
    <n v="1"/>
    <s v="ERP-2023-0138"/>
    <m/>
  </r>
  <r>
    <s v="BTH-2023-0085"/>
    <n v="45039"/>
    <s v="SITE-05"/>
    <s v="Canmore Barrel House"/>
    <s v="Foothills AB"/>
    <x v="2"/>
    <s v="Bottling"/>
    <s v="OP-03"/>
    <x v="4"/>
    <s v="Day"/>
    <n v="1039.9000000000001"/>
    <n v="4010.6"/>
    <n v="717.4"/>
    <n v="698.3"/>
    <n v="-19.100000000000001"/>
    <n v="-2.6599999999999999E-2"/>
    <n v="4.2"/>
    <n v="4.8899999999999997"/>
    <n v="65.5"/>
    <n v="64.7"/>
    <n v="5"/>
    <s v="Power fluctuation"/>
    <s v="FAIL"/>
    <n v="0"/>
    <s v="ERP-2023-0185"/>
    <s v="Extended downtime — operations manager notified"/>
  </r>
  <r>
    <s v="BTH-2023-0086"/>
    <n v="45041"/>
    <s v="SITE-04"/>
    <s v="Red Deer Grain Store"/>
    <s v="Central AB"/>
    <x v="2"/>
    <s v="Mashing"/>
    <s v="OP-05"/>
    <x v="0"/>
    <s v="Night"/>
    <n v="691.7"/>
    <n v="2773.2"/>
    <n v="469.9"/>
    <n v="479.7"/>
    <n v="9.8000000000000007"/>
    <n v="2.0899999999999998E-2"/>
    <n v="8.5"/>
    <n v="8.0399999999999991"/>
    <n v="68.3"/>
    <n v="66.099999999999994"/>
    <n v="0"/>
    <m/>
    <s v="FAIL"/>
    <n v="0"/>
    <s v="ERP-2023-0187"/>
    <s v="ABV under-strength — batch held pending QC review"/>
  </r>
  <r>
    <s v="BTH-2023-0087"/>
    <n v="45044"/>
    <s v="SITE-01"/>
    <s v="Calgary Distillery"/>
    <s v="Calgary Metro"/>
    <x v="2"/>
    <s v="Blending"/>
    <s v="OP-02"/>
    <x v="1"/>
    <s v="Day"/>
    <n v="1009.9"/>
    <n v="5169.7"/>
    <n v="649.1"/>
    <n v="646.70000000000005"/>
    <n v="-2.4"/>
    <n v="-3.7000000000000002E-3"/>
    <n v="17.100000000000001"/>
    <n v="22.78"/>
    <n v="61.5"/>
    <n v="59.4"/>
    <n v="3"/>
    <s v="Still head gasket failure"/>
    <s v="FAIL"/>
    <n v="0"/>
    <s v="ERP-2023-0081"/>
    <s v="ABV under-strength — batch held pending QC review"/>
  </r>
  <r>
    <s v="BTH-2023-0087"/>
    <n v="45044"/>
    <s v="SITE-01"/>
    <s v="Calgary Distillery"/>
    <s v="Calgary Metro"/>
    <x v="2"/>
    <s v="Blending"/>
    <s v="OP-02"/>
    <x v="1"/>
    <s v="Day"/>
    <n v="1009.9"/>
    <n v="5169.7"/>
    <n v="649.1"/>
    <n v="646.70000000000005"/>
    <n v="-2.4"/>
    <n v="-3.7000000000000002E-3"/>
    <n v="17.100000000000001"/>
    <n v="22.78"/>
    <n v="61.5"/>
    <n v="59.4"/>
    <n v="3"/>
    <s v="Still head gasket failure"/>
    <s v="FAIL"/>
    <n v="0"/>
    <s v="ERP-2023-0081"/>
    <s v="ABV under-strength — batch held pending QC review"/>
  </r>
  <r>
    <s v="BTH-2023-0088"/>
    <n v="45047"/>
    <s v="SITE-03"/>
    <s v="Airdrie Bottling Facility"/>
    <s v="Central AB"/>
    <x v="3"/>
    <s v="Bottling"/>
    <s v="OP-04"/>
    <x v="2"/>
    <s v="Day"/>
    <n v="450.6"/>
    <n v="2413.8000000000002"/>
    <n v="309.5"/>
    <n v="313.89999999999998"/>
    <n v="4.4000000000000004"/>
    <n v="1.4200000000000001E-2"/>
    <n v="14.6"/>
    <n v="18.91"/>
    <n v="66.2"/>
    <n v="65.400000000000006"/>
    <n v="0"/>
    <m/>
    <s v="PASS"/>
    <n v="1"/>
    <s v="ERP-2023-0140"/>
    <m/>
  </r>
  <r>
    <s v="BTH-2023-0089"/>
    <n v="45049"/>
    <s v="SITE-03"/>
    <s v="Airdrie Bottling Facility"/>
    <s v="Central AB"/>
    <x v="2"/>
    <s v="Bottling"/>
    <s v="OP-01"/>
    <x v="3"/>
    <s v="Day"/>
    <n v="865"/>
    <n v="3149.6"/>
    <n v="592.9"/>
    <n v="598.20000000000005"/>
    <n v="5.3"/>
    <n v="8.8999999999999999E-3"/>
    <n v="6.7"/>
    <n v="6.27"/>
    <n v="64.3"/>
    <n v="62.7"/>
    <n v="0"/>
    <m/>
    <s v="PASS"/>
    <n v="1"/>
    <s v="ERP-2023-0085"/>
    <m/>
  </r>
  <r>
    <s v="BTH-2023-0090"/>
    <n v="45051"/>
    <s v="SITE-02"/>
    <s v="Okotoks Malting Plant"/>
    <s v="South AB"/>
    <x v="3"/>
    <s v="Mashing"/>
    <s v="OP-01"/>
    <x v="3"/>
    <s v="Night"/>
    <n v="496.4"/>
    <n v="1835.2"/>
    <n v="278"/>
    <n v="275.10000000000002"/>
    <n v="-2.9"/>
    <n v="-1.04E-2"/>
    <n v="15.4"/>
    <n v="15.69"/>
    <n v="66.7"/>
    <n v="66"/>
    <n v="0"/>
    <m/>
    <s v="PASS"/>
    <n v="1"/>
    <s v="ERP-2023-0194"/>
    <m/>
  </r>
  <r>
    <s v="BTH-2023-0091"/>
    <n v="45054"/>
    <s v="SITE-04"/>
    <s v="Red Deer Grain Store"/>
    <s v="Central AB"/>
    <x v="4"/>
    <s v="Blending"/>
    <s v="OP-02"/>
    <x v="1"/>
    <s v="Day"/>
    <n v="1167.2"/>
    <n v="5517.5"/>
    <n v="680.2"/>
    <n v="670.5"/>
    <n v="-9.6999999999999993"/>
    <n v="-1.43E-2"/>
    <n v="16.399999999999999"/>
    <n v="13.74"/>
    <n v="66.400000000000006"/>
    <n v="65.8"/>
    <n v="0"/>
    <m/>
    <s v="PASS"/>
    <n v="1"/>
    <s v="ERP-2023-0145"/>
    <m/>
  </r>
  <r>
    <s v="BTH-2023-0092"/>
    <n v="45056"/>
    <s v="SITE-04"/>
    <s v="Red Deer Grain Store"/>
    <s v="Central AB"/>
    <x v="0"/>
    <s v="Distillation"/>
    <s v="OP-01"/>
    <x v="3"/>
    <s v="Day"/>
    <n v="476.7"/>
    <n v="1832.6"/>
    <n v="283.60000000000002"/>
    <n v="290.60000000000002"/>
    <n v="7"/>
    <n v="2.47E-2"/>
    <n v="10.6"/>
    <n v="13.38"/>
    <n v="67.7"/>
    <n v="67.8"/>
    <n v="5"/>
    <s v="Instrument calibration"/>
    <s v="FAIL"/>
    <n v="0"/>
    <s v="ERP-2023-0179"/>
    <s v="Extended downtime — operations manager notified"/>
  </r>
  <r>
    <s v="BTH-2023-0093"/>
    <n v="45062"/>
    <s v="SITE-03"/>
    <s v="Airdrie Bottling Facility"/>
    <s v="Central AB"/>
    <x v="3"/>
    <s v="Blending"/>
    <s v="OP-01"/>
    <x v="3"/>
    <s v="Night"/>
    <n v="862.5"/>
    <n v="4072.7"/>
    <n v="540.1"/>
    <n v="534"/>
    <n v="-6.1"/>
    <n v="-1.1299999999999999E-2"/>
    <n v="8.9"/>
    <n v="7.93"/>
    <n v="68.599999999999994"/>
    <n v="68.5"/>
    <n v="0"/>
    <m/>
    <s v="PASS"/>
    <n v="1"/>
    <s v="ERP-2023-0190"/>
    <m/>
  </r>
  <r>
    <s v="BTH-2023-0094"/>
    <n v="45065"/>
    <s v="SITE-03"/>
    <s v="Airdrie Bottling Facility"/>
    <s v="Central AB"/>
    <x v="0"/>
    <s v="Bottling"/>
    <s v="OP-01"/>
    <x v="3"/>
    <s v="Night"/>
    <n v="1023.6"/>
    <n v="5200.3"/>
    <n v="578.29999999999995"/>
    <n v="571.4"/>
    <n v="-6.9"/>
    <n v="-1.1900000000000001E-2"/>
    <n v="17"/>
    <n v="20.63"/>
    <n v="64"/>
    <n v="65.599999999999994"/>
    <n v="0.5"/>
    <m/>
    <s v="PASS"/>
    <n v="1"/>
    <s v="ERP-2023-0157"/>
    <m/>
  </r>
  <r>
    <s v="BTH-2023-0095"/>
    <n v="45067"/>
    <s v="SITE-04"/>
    <s v="Red Deer Grain Store"/>
    <s v="Central AB"/>
    <x v="1"/>
    <s v="Bottling"/>
    <s v="OP-04"/>
    <x v="2"/>
    <s v="Day"/>
    <n v="1061.3"/>
    <n v="5703.3"/>
    <n v="670.2"/>
    <n v="720.1"/>
    <n v="49.9"/>
    <n v="7.4499999999999997E-2"/>
    <n v="10.7"/>
    <n v="9.65"/>
    <n v="60.7"/>
    <n v="59.4"/>
    <n v="0.5"/>
    <m/>
    <s v="PASS"/>
    <n v="1"/>
    <s v="ERP-2023-0014"/>
    <m/>
  </r>
  <r>
    <s v="BTH-2023-0096"/>
    <n v="45068"/>
    <s v="SITE-02"/>
    <s v="Okotoks Malting Plant"/>
    <s v="South AB"/>
    <x v="1"/>
    <s v="Fermentation"/>
    <s v="OP-04"/>
    <x v="2"/>
    <s v="Night"/>
    <n v="952.9"/>
    <n v="3594"/>
    <n v="602.4"/>
    <n v="595.9"/>
    <n v="-6.5"/>
    <n v="-1.0800000000000001E-2"/>
    <n v="13.6"/>
    <n v="14.86"/>
    <n v="66"/>
    <n v="66.2"/>
    <n v="2"/>
    <m/>
    <s v="PASS"/>
    <n v="1"/>
    <s v="ERP-2023-0050"/>
    <m/>
  </r>
  <r>
    <s v="BTH-2023-0097"/>
    <n v="45069"/>
    <s v="SITE-02"/>
    <s v="Okotoks Malting Plant"/>
    <s v="South AB"/>
    <x v="1"/>
    <s v="Blending"/>
    <s v="OP-05"/>
    <x v="0"/>
    <s v="Day"/>
    <n v="985.3"/>
    <n v="4399.3"/>
    <n v="637.79999999999995"/>
    <n v="645.70000000000005"/>
    <n v="7.9"/>
    <n v="1.24E-2"/>
    <n v="10.4"/>
    <n v="13.71"/>
    <n v="61.7"/>
    <n v="63.8"/>
    <n v="0"/>
    <m/>
    <s v="PASS"/>
    <n v="1"/>
    <s v="ERP-2023-0067"/>
    <s v="ABV over-strength — blending adjustment applied"/>
  </r>
  <r>
    <s v="BTH-2023-0098"/>
    <n v="45071"/>
    <s v="SITE-03"/>
    <s v="Airdrie Bottling Facility"/>
    <s v="Central AB"/>
    <x v="2"/>
    <s v="Fermentation"/>
    <s v="OP-04"/>
    <x v="2"/>
    <s v="Night"/>
    <n v="923.1"/>
    <n v="4684.2"/>
    <n v="583"/>
    <n v="585"/>
    <n v="2"/>
    <n v="3.3999999999999998E-3"/>
    <n v="7.6"/>
    <n v="8.84"/>
    <n v="63.3"/>
    <n v="65.7"/>
    <n v="0"/>
    <m/>
    <s v="FAIL"/>
    <n v="0"/>
    <s v="ERP-2023-0054"/>
    <s v="ABV over-strength — blending adjustment applied"/>
  </r>
  <r>
    <s v="BTH-2023-0099"/>
    <n v="45072"/>
    <s v="SITE-02"/>
    <s v="Okotoks Malting Plant"/>
    <s v="South AB"/>
    <x v="3"/>
    <s v="Distillation"/>
    <s v="OP-05"/>
    <x v="0"/>
    <s v="Day"/>
    <n v="1041.5999999999999"/>
    <n v="4124.6000000000004"/>
    <n v="635.79999999999995"/>
    <n v="630.29999999999995"/>
    <n v="-5.5"/>
    <n v="-8.6999999999999994E-3"/>
    <n v="10.1"/>
    <n v="8.9600000000000009"/>
    <n v="60"/>
    <n v="61.1"/>
    <n v="5"/>
    <m/>
    <s v="PASS"/>
    <n v="1"/>
    <s v="ERP-2023-0034"/>
    <s v="Extended downtime — operations manager notified"/>
  </r>
  <r>
    <s v="BTH-2023-0100"/>
    <n v="45078"/>
    <s v="SITE-02"/>
    <s v="Okotoks Malting Plant"/>
    <s v="South AB"/>
    <x v="4"/>
    <s v="Distillation"/>
    <s v="OP-01"/>
    <x v="3"/>
    <s v="Day"/>
    <n v="707.4"/>
    <n v="2717"/>
    <n v="393.6"/>
    <n v="398.7"/>
    <n v="5.0999999999999996"/>
    <n v="1.2999999999999999E-2"/>
    <n v="16.399999999999999"/>
    <n v="13.46"/>
    <n v="62"/>
    <n v="63.1"/>
    <n v="5"/>
    <s v="Instrument calibration"/>
    <s v="PASS"/>
    <n v="1"/>
    <s v="ERP-2023-0162"/>
    <s v="Extended downtime — operations manager notified"/>
  </r>
  <r>
    <s v="BTH-2023-0101"/>
    <n v="45079"/>
    <s v="SITE-02"/>
    <s v="Okotoks Malting Plant"/>
    <s v="South AB"/>
    <x v="0"/>
    <s v="Bottling"/>
    <s v="OP-02"/>
    <x v="1"/>
    <s v="Day"/>
    <n v="1088.4000000000001"/>
    <n v="3853.4"/>
    <n v="608.9"/>
    <n v="605.6"/>
    <n v="-3.3"/>
    <n v="-5.4000000000000003E-3"/>
    <n v="11"/>
    <n v="14.01"/>
    <n v="66.7"/>
    <n v="67.5"/>
    <n v="0"/>
    <m/>
    <s v="PASS"/>
    <n v="1"/>
    <s v="ERP-2023-0135"/>
    <m/>
  </r>
  <r>
    <s v="BTH-2023-0102"/>
    <n v="45080"/>
    <s v="SITE-05"/>
    <s v="Canmore Barrel House"/>
    <s v="Foothills AB"/>
    <x v="1"/>
    <s v="Bottling"/>
    <s v="OP-01"/>
    <x v="3"/>
    <s v="Day"/>
    <n v="577.20000000000005"/>
    <n v="2772.4"/>
    <n v="375.6"/>
    <n v="372.5"/>
    <n v="-3.1"/>
    <n v="-8.3000000000000001E-3"/>
    <n v="17.100000000000001"/>
    <n v="19.86"/>
    <n v="61"/>
    <n v="59.5"/>
    <n v="0.5"/>
    <s v="Power fluctuation"/>
    <s v="PASS"/>
    <n v="1"/>
    <s v="ERP-2023-0118"/>
    <m/>
  </r>
  <r>
    <s v="BTH-2023-0103"/>
    <n v="45081"/>
    <s v="SITE-02"/>
    <s v="Okotoks Malting Plant"/>
    <s v="South AB"/>
    <x v="1"/>
    <s v="Mashing"/>
    <s v="OP-02"/>
    <x v="1"/>
    <s v="Night"/>
    <n v="1049"/>
    <n v="3818.1"/>
    <n v="640.29999999999995"/>
    <n v="690.4"/>
    <n v="50.1"/>
    <n v="7.8200000000000006E-2"/>
    <n v="17"/>
    <n v="17.22"/>
    <n v="67.400000000000006"/>
    <n v="69.8"/>
    <n v="0"/>
    <m/>
    <s v="PASS"/>
    <n v="1"/>
    <s v="ERP-2023-0042"/>
    <s v="ABV over-strength — blending adjustment applied"/>
  </r>
  <r>
    <s v="BTH-2023-0104"/>
    <n v="45081"/>
    <s v="SITE-02"/>
    <s v="Okotoks Malting Plant"/>
    <s v="South AB"/>
    <x v="1"/>
    <s v="Bottling"/>
    <s v="OP-04"/>
    <x v="2"/>
    <s v="Day"/>
    <n v="445.8"/>
    <n v="2266.6999999999998"/>
    <n v="315.60000000000002"/>
    <n v="311.10000000000002"/>
    <n v="-4.5"/>
    <n v="-1.43E-2"/>
    <n v="11.4"/>
    <n v="11.27"/>
    <n v="66"/>
    <n v="63.6"/>
    <n v="0"/>
    <m/>
    <s v="PASS"/>
    <n v="1"/>
    <s v="ERP-2023-0099"/>
    <s v="ABV under-strength — batch held pending QC review"/>
  </r>
  <r>
    <s v="BTH-2023-0105"/>
    <n v="45081"/>
    <s v="SITE-01"/>
    <s v="Calgary Distillery"/>
    <s v="Calgary Metro"/>
    <x v="1"/>
    <s v="Distillation"/>
    <s v="OP-02"/>
    <x v="1"/>
    <s v="Day"/>
    <n v="1090.7"/>
    <n v="4392.8999999999996"/>
    <n v="725.7"/>
    <n v="739.7"/>
    <n v="14"/>
    <n v="1.9300000000000001E-2"/>
    <n v="14.6"/>
    <n v="14.53"/>
    <n v="61.6"/>
    <n v="61"/>
    <n v="0"/>
    <m/>
    <s v="PASS"/>
    <n v="1"/>
    <s v="ERP-2023-0143"/>
    <m/>
  </r>
  <r>
    <s v="BTH-2023-0105"/>
    <n v="45081"/>
    <s v="SITE-01"/>
    <s v="Calgary Distillery"/>
    <s v="Calgary Metro"/>
    <x v="1"/>
    <s v="Distillation"/>
    <s v="OP-02"/>
    <x v="1"/>
    <s v="Day"/>
    <n v="1090.7"/>
    <n v="4392.8999999999996"/>
    <n v="725.7"/>
    <n v="739.7"/>
    <n v="14"/>
    <n v="1.9300000000000001E-2"/>
    <n v="14.6"/>
    <n v="14.53"/>
    <n v="61.6"/>
    <n v="61"/>
    <n v="0"/>
    <m/>
    <s v="PASS"/>
    <n v="1"/>
    <s v="ERP-2023-0143"/>
    <m/>
  </r>
  <r>
    <s v="BTH-2023-0106"/>
    <n v="45088"/>
    <s v="SITE-04"/>
    <s v="Red Deer Grain Store"/>
    <s v="Central AB"/>
    <x v="4"/>
    <s v="Fermentation"/>
    <s v="OP-05"/>
    <x v="0"/>
    <s v="Night"/>
    <n v="692.1"/>
    <n v="2679.9"/>
    <n v="384.9"/>
    <n v="348.9"/>
    <n v="-36"/>
    <n v="-9.35E-2"/>
    <n v="11.9"/>
    <n v="15.48"/>
    <n v="68.2"/>
    <n v="67.7"/>
    <n v="0"/>
    <m/>
    <s v="PASS"/>
    <n v="1"/>
    <s v="ERP-2023-0111"/>
    <s v="Yield below threshold — reviewed with production lead"/>
  </r>
  <r>
    <s v="BTH-2023-0107"/>
    <n v="45088"/>
    <s v="SITE-03"/>
    <s v="Airdrie Bottling Facility"/>
    <s v="Central AB"/>
    <x v="2"/>
    <s v="Mashing"/>
    <s v="OP-04"/>
    <x v="2"/>
    <s v="Day"/>
    <n v="949.7"/>
    <n v="4324.2"/>
    <n v="542.79999999999995"/>
    <n v="580.9"/>
    <n v="38.1"/>
    <n v="7.0199999999999999E-2"/>
    <n v="17"/>
    <n v="19.41"/>
    <n v="60.6"/>
    <n v="58.3"/>
    <n v="1"/>
    <m/>
    <s v="PASS"/>
    <n v="1"/>
    <s v="ERP-2023-0147"/>
    <s v="ABV under-strength — batch held pending QC review"/>
  </r>
  <r>
    <s v="BTH-2023-0108"/>
    <n v="45089"/>
    <s v="SITE-04"/>
    <s v="Red Deer Grain Store"/>
    <s v="Central AB"/>
    <x v="4"/>
    <s v="Distillation"/>
    <s v="OP-02"/>
    <x v="1"/>
    <s v="Day"/>
    <n v="571.70000000000005"/>
    <n v="2490.5"/>
    <n v="364"/>
    <n v="359.7"/>
    <n v="-4.3"/>
    <n v="-1.18E-2"/>
    <n v="16.3"/>
    <n v="17.399999999999999"/>
    <n v="62.3"/>
    <n v="63.6"/>
    <n v="1"/>
    <s v="Still head gasket failure"/>
    <s v="PASS"/>
    <n v="1"/>
    <s v="ERP-2023-0059"/>
    <m/>
  </r>
  <r>
    <s v="BTH-2023-0109"/>
    <n v="45091"/>
    <s v="SITE-05"/>
    <s v="Canmore Barrel House"/>
    <s v="Foothills AB"/>
    <x v="3"/>
    <s v="Blending"/>
    <s v="OP-05"/>
    <x v="0"/>
    <s v="Day"/>
    <n v="1132.9000000000001"/>
    <n v="4867.8"/>
    <n v="663.2"/>
    <n v="659.2"/>
    <n v="-4"/>
    <n v="-6.0000000000000001E-3"/>
    <n v="14.4"/>
    <n v="14.44"/>
    <n v="66"/>
    <n v="67"/>
    <n v="0"/>
    <m/>
    <s v="PASS"/>
    <n v="1"/>
    <s v="ERP-2023-0030"/>
    <m/>
  </r>
  <r>
    <s v="BTH-2023-0110"/>
    <n v="45094"/>
    <s v="SITE-04"/>
    <s v="Red Deer Grain Store"/>
    <s v="Central AB"/>
    <x v="3"/>
    <s v="Bottling"/>
    <s v="OP-04"/>
    <x v="2"/>
    <s v="Day"/>
    <n v="857.5"/>
    <n v="4485.5"/>
    <n v="511"/>
    <n v="524"/>
    <n v="13"/>
    <n v="2.5399999999999999E-2"/>
    <n v="16.399999999999999"/>
    <n v="17.920000000000002"/>
    <n v="65.3"/>
    <n v="63.3"/>
    <n v="0"/>
    <m/>
    <s v="PASS"/>
    <n v="1"/>
    <s v="ERP-2023-0129"/>
    <m/>
  </r>
  <r>
    <s v="BTH-2023-0111"/>
    <n v="45097"/>
    <s v="SITE-05"/>
    <s v="Canmore Barrel House"/>
    <s v="Foothills AB"/>
    <x v="0"/>
    <s v="Blending"/>
    <s v="OP-05"/>
    <x v="0"/>
    <s v="Day"/>
    <n v="662.1"/>
    <n v="2860"/>
    <n v="405"/>
    <n v="406.4"/>
    <n v="1.4"/>
    <n v="3.5000000000000001E-3"/>
    <n v="9.6999999999999993"/>
    <n v="9.43"/>
    <n v="65.900000000000006"/>
    <n v="64.7"/>
    <n v="0"/>
    <m/>
    <s v="PASS"/>
    <n v="1"/>
    <s v="ERP-2023-0173"/>
    <m/>
  </r>
  <r>
    <s v="BTH-2023-0112"/>
    <n v="45100"/>
    <s v="SITE-04"/>
    <s v="Red Deer Grain Store"/>
    <s v="Central AB"/>
    <x v="4"/>
    <s v="Blending"/>
    <s v="OP-03"/>
    <x v="4"/>
    <s v="Night"/>
    <n v="689.1"/>
    <n v="3074.5"/>
    <n v="494.9"/>
    <n v="507"/>
    <n v="12.1"/>
    <n v="2.4400000000000002E-2"/>
    <n v="4.3"/>
    <n v="5.95"/>
    <n v="65"/>
    <n v="64.5"/>
    <n v="5"/>
    <s v="Instrument calibration"/>
    <s v="PASS"/>
    <n v="1"/>
    <s v="ERP-2023-0152"/>
    <s v="Extended downtime — operations manager notified"/>
  </r>
  <r>
    <s v="BTH-2023-0113"/>
    <n v="45101"/>
    <s v="SITE-01"/>
    <s v="Calgary Distillery"/>
    <s v="Calgary Metro"/>
    <x v="2"/>
    <s v="Bottling"/>
    <s v="OP-04"/>
    <x v="2"/>
    <s v="Day"/>
    <n v="646"/>
    <n v="3215.6"/>
    <n v="371.4"/>
    <n v="373.7"/>
    <n v="2.2999999999999998"/>
    <n v="6.1999999999999998E-3"/>
    <n v="17"/>
    <n v="15.96"/>
    <n v="69.2"/>
    <n v="70.7"/>
    <n v="0"/>
    <m/>
    <s v="PASS"/>
    <n v="1"/>
    <s v="ERP-2023-0018"/>
    <m/>
  </r>
  <r>
    <s v="BTH-2023-0113"/>
    <n v="45101"/>
    <s v="SITE-01"/>
    <s v="Calgary Distillery"/>
    <s v="Calgary Metro"/>
    <x v="2"/>
    <s v="Bottling"/>
    <s v="OP-04"/>
    <x v="2"/>
    <s v="Day"/>
    <n v="646"/>
    <n v="3215.6"/>
    <n v="371.4"/>
    <n v="373.7"/>
    <n v="2.2999999999999998"/>
    <n v="6.1999999999999998E-3"/>
    <n v="17"/>
    <n v="15.96"/>
    <n v="69.2"/>
    <n v="70.7"/>
    <n v="0"/>
    <m/>
    <s v="PASS"/>
    <n v="1"/>
    <s v="ERP-2023-0018"/>
    <m/>
  </r>
  <r>
    <s v="BTH-2023-0114"/>
    <n v="45103"/>
    <s v="SITE-04"/>
    <s v="Red Deer Grain Store"/>
    <s v="Central AB"/>
    <x v="0"/>
    <s v="Mashing"/>
    <s v="OP-05"/>
    <x v="0"/>
    <s v="Day"/>
    <n v="401"/>
    <n v="1652.5"/>
    <n v="266.39999999999998"/>
    <n v="263.3"/>
    <n v="-3.1"/>
    <n v="-1.1599999999999999E-2"/>
    <n v="15"/>
    <n v="16"/>
    <n v="62.1"/>
    <n v="63.3"/>
    <n v="5"/>
    <m/>
    <s v="FAIL"/>
    <n v="0"/>
    <s v="ERP-2023-0011"/>
    <s v="Extended downtime — operations manager notified"/>
  </r>
  <r>
    <s v="BTH-2023-0115"/>
    <n v="45103"/>
    <s v="SITE-04"/>
    <s v="Red Deer Grain Store"/>
    <s v="Central AB"/>
    <x v="3"/>
    <s v="Blending"/>
    <s v="OP-04"/>
    <x v="2"/>
    <s v="Day"/>
    <n v="818"/>
    <n v="4164.6000000000004"/>
    <n v="463.3"/>
    <n v="464.1"/>
    <n v="0.8"/>
    <n v="1.6999999999999999E-3"/>
    <n v="8.9"/>
    <n v="8.51"/>
    <n v="62.1"/>
    <n v="62.9"/>
    <n v="5"/>
    <m/>
    <s v="PASS"/>
    <n v="1"/>
    <s v="ERP-2023-0168"/>
    <s v="Extended downtime — operations manager notified"/>
  </r>
  <r>
    <s v="BTH-2023-0116"/>
    <n v="45107"/>
    <s v="SITE-03"/>
    <s v="Airdrie Bottling Facility"/>
    <s v="Central AB"/>
    <x v="0"/>
    <s v="Mashing"/>
    <s v="OP-03"/>
    <x v="4"/>
    <s v="Day"/>
    <n v="1199.3"/>
    <n v="4841.3999999999996"/>
    <n v="786.9"/>
    <n v="788.8"/>
    <n v="1.9"/>
    <n v="2.3999999999999998E-3"/>
    <n v="12.6"/>
    <n v="15.91"/>
    <n v="62.1"/>
    <n v="62.3"/>
    <n v="0"/>
    <m/>
    <s v="PASS"/>
    <n v="1"/>
    <s v="ERP-2023-0112"/>
    <m/>
  </r>
  <r>
    <s v="BTH-2023-0117"/>
    <n v="45108"/>
    <s v="SITE-05"/>
    <s v="Canmore Barrel House"/>
    <s v="Foothills AB"/>
    <x v="0"/>
    <s v="Mashing"/>
    <s v="OP-01"/>
    <x v="3"/>
    <s v="Night"/>
    <n v="977.9"/>
    <n v="3729.5"/>
    <n v="544.79999999999995"/>
    <n v="519.6"/>
    <n v="-25.2"/>
    <n v="-4.6300000000000001E-2"/>
    <n v="13.8"/>
    <n v="14.44"/>
    <n v="65.2"/>
    <n v="66.900000000000006"/>
    <n v="0"/>
    <m/>
    <s v="FAIL"/>
    <n v="0"/>
    <s v="ERP-2023-0165"/>
    <m/>
  </r>
  <r>
    <s v="BTH-2023-0118"/>
    <n v="45112"/>
    <s v="SITE-02"/>
    <s v="Okotoks Malting Plant"/>
    <s v="South AB"/>
    <x v="2"/>
    <s v="Distillation"/>
    <s v="OP-05"/>
    <x v="0"/>
    <s v="Day"/>
    <n v="673.8"/>
    <n v="2901.1"/>
    <n v="424.9"/>
    <n v="391.7"/>
    <n v="-33.200000000000003"/>
    <n v="-7.8100000000000003E-2"/>
    <n v="14"/>
    <n v="16.510000000000002"/>
    <n v="61.3"/>
    <n v="60.6"/>
    <n v="0"/>
    <m/>
    <s v="FAIL"/>
    <n v="0"/>
    <s v="ERP-2023-0195"/>
    <m/>
  </r>
  <r>
    <s v="BTH-2023-0119"/>
    <n v="45114"/>
    <s v="SITE-01"/>
    <s v="Calgary Distillery"/>
    <s v="Calgary Metro"/>
    <x v="4"/>
    <s v="Blending"/>
    <s v="OP-02"/>
    <x v="1"/>
    <s v="Night"/>
    <n v="866.9"/>
    <n v="3449.9"/>
    <n v="525.79999999999995"/>
    <n v="533.5"/>
    <n v="7.7"/>
    <n v="1.46E-2"/>
    <n v="12.6"/>
    <n v="12.27"/>
    <n v="61.7"/>
    <n v="60"/>
    <n v="0"/>
    <m/>
    <s v="PASS"/>
    <n v="1"/>
    <s v="ERP-2023-0159"/>
    <m/>
  </r>
  <r>
    <s v="BTH-2023-0119"/>
    <n v="45114"/>
    <s v="SITE-01"/>
    <s v="Calgary Distillery"/>
    <s v="Calgary Metro"/>
    <x v="4"/>
    <s v="Blending"/>
    <s v="OP-02"/>
    <x v="1"/>
    <s v="Night"/>
    <n v="866.9"/>
    <n v="3449.9"/>
    <n v="525.79999999999995"/>
    <n v="533.5"/>
    <n v="7.7"/>
    <n v="1.46E-2"/>
    <n v="12.6"/>
    <n v="12.27"/>
    <n v="61.7"/>
    <n v="60"/>
    <n v="0"/>
    <m/>
    <s v="PASS"/>
    <n v="1"/>
    <s v="ERP-2023-0159"/>
    <m/>
  </r>
  <r>
    <s v="BTH-2023-0120"/>
    <n v="45115"/>
    <s v="SITE-04"/>
    <s v="Red Deer Grain Store"/>
    <s v="Central AB"/>
    <x v="2"/>
    <s v="Blending"/>
    <s v="OP-02"/>
    <x v="1"/>
    <s v="Day"/>
    <n v="883.5"/>
    <n v="4818.1000000000004"/>
    <n v="635.20000000000005"/>
    <n v="625.5"/>
    <n v="-9.6999999999999993"/>
    <n v="-1.5299999999999999E-2"/>
    <n v="5.9"/>
    <n v="7.86"/>
    <n v="68.400000000000006"/>
    <n v="67.3"/>
    <n v="5"/>
    <m/>
    <s v="PASS"/>
    <n v="1"/>
    <s v="ERP-2023-0040"/>
    <s v="Extended downtime — operations manager notified"/>
  </r>
  <r>
    <s v="BTH-2023-0121"/>
    <n v="45117"/>
    <s v="SITE-02"/>
    <s v="Okotoks Malting Plant"/>
    <s v="South AB"/>
    <x v="1"/>
    <s v="Bottling"/>
    <s v="OP-05"/>
    <x v="0"/>
    <s v="Night"/>
    <n v="1094.2"/>
    <n v="5921"/>
    <n v="683.6"/>
    <n v="671.8"/>
    <n v="-11.8"/>
    <n v="-1.7299999999999999E-2"/>
    <n v="9"/>
    <n v="8.6"/>
    <n v="62.9"/>
    <n v="61.9"/>
    <n v="0"/>
    <m/>
    <s v="PASS"/>
    <n v="1"/>
    <s v="ERP-2023-0089"/>
    <m/>
  </r>
  <r>
    <s v="BTH-2023-0122"/>
    <n v="45118"/>
    <s v="SITE-03"/>
    <s v="Airdrie Bottling Facility"/>
    <s v="Central AB"/>
    <x v="2"/>
    <s v="Fermentation"/>
    <s v="OP-03"/>
    <x v="4"/>
    <s v="Day"/>
    <n v="480.8"/>
    <n v="2348"/>
    <n v="295.10000000000002"/>
    <n v="280.3"/>
    <n v="-14.8"/>
    <n v="-5.0200000000000002E-2"/>
    <n v="11.7"/>
    <n v="15.82"/>
    <n v="64.8"/>
    <n v="65.900000000000006"/>
    <n v="0"/>
    <m/>
    <s v="PASS"/>
    <n v="1"/>
    <s v="ERP-2023-0100"/>
    <m/>
  </r>
  <r>
    <s v="BTH-2023-0123"/>
    <n v="45118"/>
    <s v="SITE-01"/>
    <s v="Calgary Distillery"/>
    <s v="Calgary Metro"/>
    <x v="4"/>
    <s v="Maturation"/>
    <s v="OP-02"/>
    <x v="1"/>
    <s v="Night"/>
    <n v="736.6"/>
    <n v="2599.6999999999998"/>
    <n v="505.6"/>
    <n v="536.4"/>
    <n v="30.8"/>
    <n v="6.0900000000000003E-2"/>
    <n v="9.6"/>
    <n v="8.4600000000000009"/>
    <n v="62"/>
    <n v="62.7"/>
    <n v="0"/>
    <m/>
    <s v="PASS"/>
    <n v="1"/>
    <s v="ERP-2023-0110"/>
    <m/>
  </r>
  <r>
    <s v="BTH-2023-0123"/>
    <n v="45118"/>
    <s v="SITE-01"/>
    <s v="Calgary Distillery"/>
    <s v="Calgary Metro"/>
    <x v="4"/>
    <s v="Maturation"/>
    <s v="OP-02"/>
    <x v="1"/>
    <s v="Night"/>
    <n v="736.6"/>
    <n v="2599.6999999999998"/>
    <n v="505.6"/>
    <n v="536.4"/>
    <n v="30.8"/>
    <n v="6.0900000000000003E-2"/>
    <n v="9.6"/>
    <n v="8.4600000000000009"/>
    <n v="62"/>
    <n v="62.7"/>
    <n v="0"/>
    <m/>
    <s v="PASS"/>
    <n v="1"/>
    <s v="ERP-2023-0110"/>
    <m/>
  </r>
  <r>
    <s v="BTH-2023-0124"/>
    <n v="45120"/>
    <s v="SITE-03"/>
    <s v="Airdrie Bottling Facility"/>
    <s v="Central AB"/>
    <x v="1"/>
    <s v="Fermentation"/>
    <s v="OP-04"/>
    <x v="2"/>
    <s v="Night"/>
    <n v="1199.4000000000001"/>
    <n v="4421.3"/>
    <n v="858.6"/>
    <n v="838.9"/>
    <n v="-19.7"/>
    <n v="-2.29E-2"/>
    <n v="4.7"/>
    <n v="5.3"/>
    <n v="65.2"/>
    <n v="66.400000000000006"/>
    <n v="0"/>
    <m/>
    <s v="PASS"/>
    <n v="1"/>
    <s v="ERP-2023-0178"/>
    <m/>
  </r>
  <r>
    <s v="BTH-2023-0125"/>
    <n v="45121"/>
    <s v="SITE-03"/>
    <s v="Airdrie Bottling Facility"/>
    <s v="Central AB"/>
    <x v="0"/>
    <s v="Fermentation"/>
    <s v="OP-01"/>
    <x v="3"/>
    <s v="Night"/>
    <n v="691.8"/>
    <n v="2666.3"/>
    <n v="473.6"/>
    <n v="497.9"/>
    <n v="24.3"/>
    <n v="5.1299999999999998E-2"/>
    <n v="16.5"/>
    <n v="18.77"/>
    <n v="69.5"/>
    <n v="69.400000000000006"/>
    <n v="3"/>
    <s v="Cooling water interruption"/>
    <s v="PASS"/>
    <n v="1"/>
    <s v="ERP-2023-0184"/>
    <s v="Extended downtime — operations manager notified"/>
  </r>
  <r>
    <s v="BTH-2023-0126"/>
    <n v="45132"/>
    <s v="SITE-04"/>
    <s v="Red Deer Grain Store"/>
    <s v="Central AB"/>
    <x v="0"/>
    <s v="Fermentation"/>
    <s v="OP-04"/>
    <x v="2"/>
    <s v="Day"/>
    <n v="732.5"/>
    <n v="2905.1"/>
    <n v="463.4"/>
    <n v="485.8"/>
    <n v="22.4"/>
    <n v="4.8300000000000003E-2"/>
    <n v="9.6999999999999993"/>
    <n v="10.3"/>
    <n v="69.8"/>
    <n v="68.599999999999994"/>
    <n v="5"/>
    <s v="Instrument calibration"/>
    <s v="PASS"/>
    <n v="1"/>
    <s v="ERP-2023-0120"/>
    <s v="Extended downtime — operations manager notified"/>
  </r>
  <r>
    <s v="BTH-2023-0127"/>
    <n v="45132"/>
    <s v="SITE-01"/>
    <s v="Calgary Distillery"/>
    <s v="Calgary Metro"/>
    <x v="1"/>
    <s v="Bottling"/>
    <s v="OP-04"/>
    <x v="2"/>
    <s v="Day"/>
    <n v="609.1"/>
    <n v="2157"/>
    <n v="415.9"/>
    <n v="441.5"/>
    <n v="25.6"/>
    <n v="6.1600000000000002E-2"/>
    <n v="12.6"/>
    <n v="10.59"/>
    <n v="64.599999999999994"/>
    <n v="64.400000000000006"/>
    <n v="0"/>
    <m/>
    <s v="PASS"/>
    <n v="1"/>
    <s v="ERP-2023-0139"/>
    <m/>
  </r>
  <r>
    <s v="BTH-2023-0127"/>
    <n v="45132"/>
    <s v="SITE-01"/>
    <s v="Calgary Distillery"/>
    <s v="Calgary Metro"/>
    <x v="1"/>
    <s v="Bottling"/>
    <s v="OP-04"/>
    <x v="2"/>
    <s v="Day"/>
    <n v="609.1"/>
    <n v="2157"/>
    <n v="415.9"/>
    <n v="441.5"/>
    <n v="25.6"/>
    <n v="6.1600000000000002E-2"/>
    <n v="12.6"/>
    <n v="10.59"/>
    <n v="64.599999999999994"/>
    <n v="64.400000000000006"/>
    <n v="0"/>
    <m/>
    <s v="PASS"/>
    <n v="1"/>
    <s v="ERP-2023-0139"/>
    <m/>
  </r>
  <r>
    <s v="BTH-2023-0128"/>
    <n v="45133"/>
    <s v="SITE-04"/>
    <s v="Red Deer Grain Store"/>
    <s v="Central AB"/>
    <x v="3"/>
    <s v="Blending"/>
    <s v="OP-02"/>
    <x v="1"/>
    <s v="Day"/>
    <n v="598.70000000000005"/>
    <n v="3005.3"/>
    <n v="354.8"/>
    <n v="359.8"/>
    <n v="5"/>
    <n v="1.41E-2"/>
    <n v="11.5"/>
    <n v="15.67"/>
    <n v="64.900000000000006"/>
    <n v="64.5"/>
    <n v="2"/>
    <m/>
    <s v="PASS"/>
    <n v="1"/>
    <s v="ERP-2023-0001"/>
    <m/>
  </r>
  <r>
    <s v="BTH-2023-0129"/>
    <n v="45136"/>
    <s v="SITE-03"/>
    <s v="Airdrie Bottling Facility"/>
    <s v="Central AB"/>
    <x v="4"/>
    <s v="Bottling"/>
    <s v="OP-02"/>
    <x v="1"/>
    <s v="Night"/>
    <n v="887.9"/>
    <n v="3316.2"/>
    <n v="594.1"/>
    <n v="593.70000000000005"/>
    <n v="-0.4"/>
    <n v="-6.9999999999999999E-4"/>
    <n v="7.7"/>
    <n v="8.61"/>
    <n v="64.400000000000006"/>
    <n v="63.9"/>
    <n v="0.5"/>
    <s v="Still head gasket failure"/>
    <s v="PASS"/>
    <n v="1"/>
    <s v="ERP-2023-0183"/>
    <m/>
  </r>
  <r>
    <s v="BTH-2023-0130"/>
    <n v="45137"/>
    <s v="SITE-02"/>
    <s v="Okotoks Malting Plant"/>
    <s v="South AB"/>
    <x v="1"/>
    <s v="Distillation"/>
    <s v="OP-03"/>
    <x v="4"/>
    <s v="Night"/>
    <n v="1165.9000000000001"/>
    <n v="6150.2"/>
    <n v="678.3"/>
    <n v="651.5"/>
    <n v="-26.8"/>
    <n v="-3.95E-2"/>
    <n v="15.1"/>
    <n v="15.76"/>
    <n v="62.9"/>
    <n v="60.4"/>
    <n v="0"/>
    <m/>
    <s v="PASS"/>
    <n v="1"/>
    <s v="ERP-2023-0123"/>
    <s v="ABV under-strength — batch held pending QC review"/>
  </r>
  <r>
    <s v="BTH-2023-0131"/>
    <n v="45143"/>
    <s v="SITE-05"/>
    <s v="Canmore Barrel House"/>
    <s v="Foothills AB"/>
    <x v="2"/>
    <s v="Distillation"/>
    <s v="OP-02"/>
    <x v="1"/>
    <s v="Day"/>
    <n v="471.6"/>
    <n v="2569.5"/>
    <n v="320.2"/>
    <n v="320"/>
    <n v="-0.2"/>
    <n v="-5.9999999999999995E-4"/>
    <n v="17.600000000000001"/>
    <n v="21.6"/>
    <n v="69.599999999999994"/>
    <n v="68.3"/>
    <n v="0"/>
    <m/>
    <s v="PASS"/>
    <n v="1"/>
    <s v="ERP-2023-0048"/>
    <m/>
  </r>
  <r>
    <s v="BTH-2023-0132"/>
    <n v="45144"/>
    <s v="SITE-03"/>
    <s v="Airdrie Bottling Facility"/>
    <s v="Central AB"/>
    <x v="2"/>
    <s v="Fermentation"/>
    <s v="OP-04"/>
    <x v="2"/>
    <s v="Day"/>
    <n v="862.8"/>
    <n v="3352.6"/>
    <n v="543.4"/>
    <n v="546.5"/>
    <n v="3.1"/>
    <n v="5.7000000000000002E-3"/>
    <n v="8.8000000000000007"/>
    <n v="7.31"/>
    <n v="63.9"/>
    <n v="64.5"/>
    <n v="0"/>
    <m/>
    <s v="PASS"/>
    <n v="1"/>
    <s v="ERP-2023-0181"/>
    <m/>
  </r>
  <r>
    <s v="BTH-2023-0133"/>
    <n v="45146"/>
    <s v="SITE-05"/>
    <s v="Canmore Barrel House"/>
    <s v="Foothills AB"/>
    <x v="3"/>
    <s v="Maturation"/>
    <s v="OP-01"/>
    <x v="3"/>
    <s v="Night"/>
    <n v="540.9"/>
    <n v="1997.5"/>
    <n v="339.9"/>
    <n v="334"/>
    <n v="-5.9"/>
    <n v="-1.7399999999999999E-2"/>
    <n v="11.9"/>
    <n v="13.69"/>
    <n v="66.8"/>
    <n v="67.3"/>
    <n v="0"/>
    <m/>
    <s v="PASS"/>
    <n v="1"/>
    <s v="ERP-2023-0090"/>
    <m/>
  </r>
  <r>
    <s v="BTH-2023-0134"/>
    <n v="45154"/>
    <s v="SITE-02"/>
    <s v="Okotoks Malting Plant"/>
    <s v="South AB"/>
    <x v="2"/>
    <s v="Bottling"/>
    <s v="OP-02"/>
    <x v="1"/>
    <s v="Night"/>
    <n v="484.6"/>
    <n v="2362.8000000000002"/>
    <n v="292.39999999999998"/>
    <n v="297"/>
    <n v="4.5999999999999996"/>
    <n v="1.5699999999999999E-2"/>
    <n v="14"/>
    <n v="14.42"/>
    <n v="64.400000000000006"/>
    <n v="66.7"/>
    <n v="0.5"/>
    <m/>
    <s v="FAIL"/>
    <n v="0"/>
    <s v="ERP-2023-0008"/>
    <s v="ABV over-strength — blending adjustment applied"/>
  </r>
  <r>
    <s v="BTH-2023-0135"/>
    <n v="45158"/>
    <s v="SITE-02"/>
    <s v="Okotoks Malting Plant"/>
    <s v="South AB"/>
    <x v="4"/>
    <s v="Blending"/>
    <s v="OP-02"/>
    <x v="1"/>
    <s v="Day"/>
    <n v="1012.9"/>
    <n v="4438.6000000000004"/>
    <n v="624.29999999999995"/>
    <n v="607.4"/>
    <n v="-16.899999999999999"/>
    <n v="-2.7099999999999999E-2"/>
    <n v="10.5"/>
    <n v="9.2100000000000009"/>
    <n v="62.4"/>
    <n v="61.7"/>
    <n v="2"/>
    <s v="Scheduled CIP cleaning"/>
    <s v="PASS"/>
    <n v="1"/>
    <s v="ERP-2023-0144"/>
    <m/>
  </r>
  <r>
    <s v="BTH-2023-0136"/>
    <n v="45160"/>
    <s v="SITE-01"/>
    <s v="Calgary Distillery"/>
    <s v="Calgary Metro"/>
    <x v="0"/>
    <s v="Mashing"/>
    <s v="OP-04"/>
    <x v="2"/>
    <s v="Night"/>
    <n v="1044"/>
    <n v="5210.5"/>
    <n v="729.9"/>
    <n v="782.8"/>
    <n v="52.9"/>
    <n v="7.2499999999999995E-2"/>
    <n v="9.5"/>
    <n v="13.21"/>
    <n v="63.5"/>
    <n v="62.6"/>
    <n v="0"/>
    <m/>
    <s v="PASS"/>
    <n v="1"/>
    <s v="ERP-2023-0098"/>
    <m/>
  </r>
  <r>
    <s v="BTH-2023-0136"/>
    <n v="45160"/>
    <s v="SITE-01"/>
    <s v="Calgary Distillery"/>
    <s v="Calgary Metro"/>
    <x v="0"/>
    <s v="Mashing"/>
    <s v="OP-04"/>
    <x v="2"/>
    <s v="Night"/>
    <n v="1044"/>
    <n v="5210.5"/>
    <n v="729.9"/>
    <n v="782.8"/>
    <n v="52.9"/>
    <n v="7.2499999999999995E-2"/>
    <n v="9.5"/>
    <n v="13.21"/>
    <n v="63.5"/>
    <n v="62.6"/>
    <n v="0"/>
    <m/>
    <s v="PASS"/>
    <n v="1"/>
    <s v="ERP-2023-0098"/>
    <m/>
  </r>
  <r>
    <s v="BTH-2023-0137"/>
    <n v="45163"/>
    <s v="SITE-04"/>
    <s v="Red Deer Grain Store"/>
    <s v="Central AB"/>
    <x v="4"/>
    <s v="Maturation"/>
    <s v="OP-02"/>
    <x v="1"/>
    <s v="Night"/>
    <n v="929.5"/>
    <n v="4245.6000000000004"/>
    <n v="626.1"/>
    <n v="635.6"/>
    <n v="9.5"/>
    <n v="1.52E-2"/>
    <n v="6.3"/>
    <n v="7.27"/>
    <n v="68.400000000000006"/>
    <n v="68.8"/>
    <n v="1"/>
    <m/>
    <s v="PASS"/>
    <n v="1"/>
    <s v="ERP-2023-0189"/>
    <m/>
  </r>
  <r>
    <s v="BTH-2023-0138"/>
    <n v="45166"/>
    <s v="SITE-03"/>
    <s v="Airdrie Bottling Facility"/>
    <s v="Central AB"/>
    <x v="0"/>
    <s v="Distillation"/>
    <s v="OP-02"/>
    <x v="1"/>
    <s v="Day"/>
    <n v="721.9"/>
    <n v="2678.5"/>
    <n v="509"/>
    <n v="502.9"/>
    <n v="-6.1"/>
    <n v="-1.2E-2"/>
    <n v="15"/>
    <n v="20.54"/>
    <n v="64.599999999999994"/>
    <n v="65.5"/>
    <n v="1"/>
    <s v="Power fluctuation"/>
    <s v="PASS"/>
    <n v="1"/>
    <s v="ERP-2023-0127"/>
    <m/>
  </r>
  <r>
    <s v="BTH-2023-0139"/>
    <n v="45173"/>
    <s v="SITE-03"/>
    <s v="Airdrie Bottling Facility"/>
    <s v="Central AB"/>
    <x v="3"/>
    <s v="Distillation"/>
    <s v="OP-05"/>
    <x v="0"/>
    <s v="Day"/>
    <n v="952.6"/>
    <n v="3426"/>
    <n v="588.5"/>
    <n v="581.20000000000005"/>
    <n v="-7.3"/>
    <n v="-1.24E-2"/>
    <n v="17.399999999999999"/>
    <n v="16.13"/>
    <n v="61.2"/>
    <n v="62.1"/>
    <n v="0"/>
    <m/>
    <s v="PASS"/>
    <n v="1"/>
    <s v="ERP-2023-0047"/>
    <m/>
  </r>
  <r>
    <s v="BTH-2023-0140"/>
    <n v="45177"/>
    <s v="SITE-01"/>
    <s v="Calgary Distillery"/>
    <s v="Calgary Metro"/>
    <x v="4"/>
    <s v="Bottling"/>
    <s v="OP-03"/>
    <x v="4"/>
    <s v="Day"/>
    <n v="1151.9000000000001"/>
    <n v="5579"/>
    <n v="818.2"/>
    <n v="841.1"/>
    <n v="22.9"/>
    <n v="2.8000000000000001E-2"/>
    <n v="8.1999999999999993"/>
    <n v="7.95"/>
    <n v="65.099999999999994"/>
    <n v="67.2"/>
    <n v="0"/>
    <m/>
    <s v="FAIL"/>
    <n v="0"/>
    <s v="ERP-2023-0161"/>
    <s v="ABV over-strength — blending adjustment applied"/>
  </r>
  <r>
    <s v="BTH-2023-0140"/>
    <n v="45177"/>
    <s v="SITE-01"/>
    <s v="Calgary Distillery"/>
    <s v="Calgary Metro"/>
    <x v="4"/>
    <s v="Bottling"/>
    <s v="OP-03"/>
    <x v="4"/>
    <s v="Day"/>
    <n v="1151.9000000000001"/>
    <n v="5579"/>
    <n v="818.2"/>
    <n v="841.1"/>
    <n v="22.9"/>
    <n v="2.8000000000000001E-2"/>
    <n v="8.1999999999999993"/>
    <n v="7.95"/>
    <n v="65.099999999999994"/>
    <n v="67.2"/>
    <n v="0"/>
    <m/>
    <s v="FAIL"/>
    <n v="0"/>
    <s v="ERP-2023-0161"/>
    <s v="ABV over-strength — blending adjustment applied"/>
  </r>
  <r>
    <s v="BTH-2023-0141"/>
    <n v="45178"/>
    <s v="SITE-05"/>
    <s v="Canmore Barrel House"/>
    <s v="Foothills AB"/>
    <x v="1"/>
    <s v="Mashing"/>
    <s v="OP-04"/>
    <x v="2"/>
    <s v="Night"/>
    <n v="825.2"/>
    <n v="4001.4"/>
    <n v="585.20000000000005"/>
    <n v="598.79999999999995"/>
    <n v="13.6"/>
    <n v="2.3199999999999998E-2"/>
    <n v="9.6999999999999993"/>
    <n v="7.87"/>
    <n v="62.2"/>
    <n v="60.9"/>
    <n v="3"/>
    <m/>
    <s v="PASS"/>
    <n v="1"/>
    <s v="ERP-2023-0074"/>
    <s v="Extended downtime — operations manager notified"/>
  </r>
  <r>
    <s v="BTH-2023-0142"/>
    <n v="45178"/>
    <s v="SITE-03"/>
    <s v="Airdrie Bottling Facility"/>
    <s v="Central AB"/>
    <x v="1"/>
    <s v="Blending"/>
    <s v="OP-03"/>
    <x v="4"/>
    <s v="Day"/>
    <n v="895.6"/>
    <n v="3874.6"/>
    <n v="567.79999999999995"/>
    <n v="554.6"/>
    <n v="-13.2"/>
    <n v="-2.3199999999999998E-2"/>
    <n v="11.8"/>
    <n v="9.77"/>
    <n v="60.1"/>
    <n v="57.7"/>
    <n v="0"/>
    <m/>
    <s v="FAIL"/>
    <n v="0"/>
    <s v="ERP-2023-0130"/>
    <s v="ABV under-strength — batch held pending QC review"/>
  </r>
  <r>
    <s v="BTH-2023-0143"/>
    <n v="45179"/>
    <s v="SITE-03"/>
    <s v="Airdrie Bottling Facility"/>
    <s v="Central AB"/>
    <x v="3"/>
    <s v="Maturation"/>
    <s v="OP-05"/>
    <x v="0"/>
    <s v="Night"/>
    <n v="493.8"/>
    <n v="2317.5"/>
    <n v="297.5"/>
    <n v="257.3"/>
    <n v="-40.200000000000003"/>
    <n v="-0.1351"/>
    <n v="4.0999999999999996"/>
    <n v="4.33"/>
    <n v="68.3"/>
    <n v="68.8"/>
    <n v="3"/>
    <m/>
    <s v="PASS"/>
    <n v="1"/>
    <s v="ERP-2023-0095"/>
    <s v="Yield below threshold — reviewed with production lead"/>
  </r>
  <r>
    <s v="BTH-2023-0144"/>
    <n v="45179"/>
    <s v="SITE-02"/>
    <s v="Okotoks Malting Plant"/>
    <s v="South AB"/>
    <x v="1"/>
    <s v="Fermentation"/>
    <s v="OP-02"/>
    <x v="1"/>
    <s v="Night"/>
    <n v="444.2"/>
    <n v="2210.4"/>
    <n v="303.8"/>
    <n v="307.89999999999998"/>
    <n v="4.0999999999999996"/>
    <n v="1.35E-2"/>
    <n v="14.1"/>
    <n v="15.68"/>
    <n v="62.2"/>
    <n v="64.3"/>
    <n v="5"/>
    <m/>
    <s v="PASS"/>
    <n v="1"/>
    <s v="ERP-2023-0176"/>
    <s v="ABV over-strength — blending adjustment applied"/>
  </r>
  <r>
    <s v="BTH-2023-0145"/>
    <n v="45180"/>
    <s v="SITE-01"/>
    <s v="Calgary Distillery"/>
    <s v="Calgary Metro"/>
    <x v="3"/>
    <s v="Maturation"/>
    <s v="OP-05"/>
    <x v="0"/>
    <s v="Night"/>
    <n v="821.3"/>
    <n v="4290.8999999999996"/>
    <n v="550.29999999999995"/>
    <n v="561"/>
    <n v="10.7"/>
    <n v="1.9400000000000001E-2"/>
    <n v="12.2"/>
    <n v="12.82"/>
    <n v="63.6"/>
    <n v="63.2"/>
    <n v="0"/>
    <m/>
    <s v="PASS"/>
    <n v="1"/>
    <s v="ERP-2023-0125"/>
    <m/>
  </r>
  <r>
    <s v="BTH-2023-0145"/>
    <n v="45180"/>
    <s v="SITE-01"/>
    <s v="Calgary Distillery"/>
    <s v="Calgary Metro"/>
    <x v="3"/>
    <s v="Maturation"/>
    <s v="OP-05"/>
    <x v="0"/>
    <s v="Night"/>
    <n v="821.3"/>
    <n v="4290.8999999999996"/>
    <n v="550.29999999999995"/>
    <n v="561"/>
    <n v="10.7"/>
    <n v="1.9400000000000001E-2"/>
    <n v="12.2"/>
    <n v="12.82"/>
    <n v="63.6"/>
    <n v="63.2"/>
    <n v="0"/>
    <m/>
    <s v="PASS"/>
    <n v="1"/>
    <s v="ERP-2023-0125"/>
    <m/>
  </r>
  <r>
    <s v="BTH-2023-0146"/>
    <n v="45185"/>
    <s v="SITE-03"/>
    <s v="Airdrie Bottling Facility"/>
    <s v="Central AB"/>
    <x v="2"/>
    <s v="Maturation"/>
    <s v="OP-03"/>
    <x v="4"/>
    <s v="Night"/>
    <n v="1191.5999999999999"/>
    <n v="5473.3"/>
    <n v="792.5"/>
    <n v="753.4"/>
    <n v="-39.1"/>
    <n v="-4.9299999999999997E-2"/>
    <n v="16.3"/>
    <n v="15.52"/>
    <n v="66.099999999999994"/>
    <n v="65.8"/>
    <n v="0.5"/>
    <s v="Power fluctuation"/>
    <s v="PASS"/>
    <n v="1"/>
    <s v="ERP-2023-0119"/>
    <m/>
  </r>
  <r>
    <s v="BTH-2023-0147"/>
    <n v="45188"/>
    <s v="SITE-04"/>
    <s v="Red Deer Grain Store"/>
    <s v="Central AB"/>
    <x v="1"/>
    <s v="Fermentation"/>
    <s v="OP-05"/>
    <x v="0"/>
    <s v="Night"/>
    <n v="962.8"/>
    <n v="3708.4"/>
    <n v="611.1"/>
    <n v="623.79999999999995"/>
    <n v="12.7"/>
    <n v="2.0799999999999999E-2"/>
    <n v="10.3"/>
    <n v="9"/>
    <n v="69.5"/>
    <n v="67.2"/>
    <n v="0"/>
    <m/>
    <s v="FAIL"/>
    <n v="0"/>
    <s v="ERP-2023-0084"/>
    <s v="ABV under-strength — batch held pending QC review"/>
  </r>
  <r>
    <s v="BTH-2023-0148"/>
    <n v="45188"/>
    <s v="SITE-03"/>
    <s v="Airdrie Bottling Facility"/>
    <s v="Central AB"/>
    <x v="4"/>
    <s v="Bottling"/>
    <s v="OP-04"/>
    <x v="2"/>
    <s v="Night"/>
    <n v="652.20000000000005"/>
    <n v="3438.5"/>
    <n v="430.4"/>
    <n v="423.8"/>
    <n v="-6.6"/>
    <n v="-1.5299999999999999E-2"/>
    <n v="4.7"/>
    <n v="6.02"/>
    <n v="64.400000000000006"/>
    <n v="62.6"/>
    <n v="5"/>
    <m/>
    <s v="FAIL"/>
    <n v="0"/>
    <s v="ERP-2023-0166"/>
    <s v="Extended downtime — operations manager notified"/>
  </r>
  <r>
    <s v="BTH-2023-0149"/>
    <n v="45191"/>
    <s v="SITE-02"/>
    <s v="Okotoks Malting Plant"/>
    <s v="South AB"/>
    <x v="3"/>
    <s v="Mashing"/>
    <s v="OP-01"/>
    <x v="3"/>
    <s v="Night"/>
    <n v="784.4"/>
    <n v="4141.2"/>
    <n v="486.3"/>
    <n v="496.2"/>
    <n v="9.9"/>
    <n v="2.0400000000000001E-2"/>
    <n v="16.100000000000001"/>
    <n v="14.72"/>
    <n v="67"/>
    <n v="67.8"/>
    <n v="0"/>
    <m/>
    <s v="PASS"/>
    <n v="1"/>
    <s v="ERP-2023-0108"/>
    <m/>
  </r>
  <r>
    <s v="BTH-2023-0150"/>
    <n v="45194"/>
    <s v="SITE-04"/>
    <s v="Red Deer Grain Store"/>
    <s v="Central AB"/>
    <x v="2"/>
    <s v="Mashing"/>
    <s v="OP-03"/>
    <x v="4"/>
    <s v="Day"/>
    <n v="1016.6"/>
    <n v="4328.3999999999996"/>
    <n v="581.20000000000005"/>
    <n v="585.9"/>
    <n v="4.7"/>
    <n v="8.0999999999999996E-3"/>
    <n v="5.9"/>
    <n v="7.41"/>
    <n v="68.5"/>
    <n v="69"/>
    <n v="1"/>
    <s v="Instrument calibration"/>
    <s v="PASS"/>
    <n v="1"/>
    <s v="ERP-2023-0068"/>
    <m/>
  </r>
  <r>
    <s v="BTH-2023-0151"/>
    <n v="45194"/>
    <s v="SITE-03"/>
    <s v="Airdrie Bottling Facility"/>
    <s v="Central AB"/>
    <x v="1"/>
    <s v="Distillation"/>
    <s v="OP-04"/>
    <x v="2"/>
    <s v="Day"/>
    <n v="1082.3"/>
    <n v="5386"/>
    <n v="682.2"/>
    <n v="651.1"/>
    <n v="-31.1"/>
    <n v="-4.5600000000000002E-2"/>
    <n v="12.9"/>
    <n v="12.86"/>
    <n v="61.9"/>
    <n v="60.7"/>
    <n v="0.5"/>
    <m/>
    <s v="PASS"/>
    <n v="1"/>
    <s v="ERP-2023-0077"/>
    <m/>
  </r>
  <r>
    <s v="BTH-2023-0152"/>
    <n v="45200"/>
    <s v="SITE-03"/>
    <s v="Airdrie Bottling Facility"/>
    <s v="Central AB"/>
    <x v="1"/>
    <s v="Distillation"/>
    <s v="OP-03"/>
    <x v="4"/>
    <s v="Day"/>
    <n v="842.9"/>
    <n v="4118.5"/>
    <n v="574.4"/>
    <n v="555.70000000000005"/>
    <n v="-18.7"/>
    <n v="-3.2599999999999997E-2"/>
    <n v="4.5"/>
    <n v="6.05"/>
    <n v="64.2"/>
    <n v="64.900000000000006"/>
    <n v="0"/>
    <m/>
    <s v="PASS"/>
    <n v="1"/>
    <s v="ERP-2023-0038"/>
    <m/>
  </r>
  <r>
    <s v="BTH-2023-0153"/>
    <n v="45202"/>
    <s v="SITE-02"/>
    <s v="Okotoks Malting Plant"/>
    <s v="South AB"/>
    <x v="4"/>
    <s v="Mashing"/>
    <s v="OP-04"/>
    <x v="2"/>
    <s v="Night"/>
    <n v="570.29999999999995"/>
    <n v="2146"/>
    <n v="319.5"/>
    <n v="327.10000000000002"/>
    <n v="7.6"/>
    <n v="2.3800000000000002E-2"/>
    <n v="4.5"/>
    <n v="3.8"/>
    <n v="63.9"/>
    <n v="61.6"/>
    <n v="2"/>
    <s v="Cooling water interruption"/>
    <s v="FAIL"/>
    <n v="0"/>
    <s v="ERP-2023-0096"/>
    <s v="ABV under-strength — batch held pending QC review"/>
  </r>
  <r>
    <s v="BTH-2023-0154"/>
    <n v="45203"/>
    <s v="SITE-02"/>
    <s v="Okotoks Malting Plant"/>
    <s v="South AB"/>
    <x v="4"/>
    <s v="Distillation"/>
    <s v="OP-02"/>
    <x v="1"/>
    <s v="Night"/>
    <n v="978.8"/>
    <n v="5223.8999999999996"/>
    <n v="696.6"/>
    <n v="687.9"/>
    <n v="-8.6999999999999993"/>
    <n v="-1.2500000000000001E-2"/>
    <n v="4.5999999999999996"/>
    <n v="4.41"/>
    <n v="67"/>
    <n v="67.7"/>
    <n v="0"/>
    <m/>
    <s v="PASS"/>
    <n v="1"/>
    <s v="ERP-2023-0196"/>
    <m/>
  </r>
  <r>
    <s v="BTH-2023-0155"/>
    <n v="45207"/>
    <s v="SITE-05"/>
    <s v="Canmore Barrel House"/>
    <s v="Foothills AB"/>
    <x v="1"/>
    <s v="Distillation"/>
    <s v="OP-02"/>
    <x v="1"/>
    <s v="Day"/>
    <n v="729"/>
    <n v="3356.9"/>
    <n v="433.8"/>
    <n v="433.5"/>
    <n v="-0.3"/>
    <n v="-6.9999999999999999E-4"/>
    <n v="15.7"/>
    <n v="15.82"/>
    <n v="69"/>
    <n v="67.599999999999994"/>
    <n v="3"/>
    <s v="Cooling water interruption"/>
    <s v="FAIL"/>
    <n v="0"/>
    <s v="ERP-2023-0041"/>
    <s v="Extended downtime — operations manager notified"/>
  </r>
  <r>
    <s v="BTH-2023-0156"/>
    <n v="45207"/>
    <s v="SITE-04"/>
    <s v="Red Deer Grain Store"/>
    <s v="Central AB"/>
    <x v="1"/>
    <s v="Bottling"/>
    <s v="OP-01"/>
    <x v="3"/>
    <s v="Day"/>
    <n v="813.2"/>
    <n v="3689.4"/>
    <n v="530.79999999999995"/>
    <n v="546.5"/>
    <n v="15.7"/>
    <n v="2.9600000000000001E-2"/>
    <n v="12.1"/>
    <n v="15.46"/>
    <n v="64.599999999999994"/>
    <n v="66.400000000000006"/>
    <n v="0"/>
    <m/>
    <s v="PASS"/>
    <n v="1"/>
    <s v="ERP-2023-0158"/>
    <m/>
  </r>
  <r>
    <s v="BTH-2023-0157"/>
    <n v="45210"/>
    <s v="SITE-04"/>
    <s v="Red Deer Grain Store"/>
    <s v="Central AB"/>
    <x v="0"/>
    <s v="Mashing"/>
    <s v="OP-01"/>
    <x v="3"/>
    <s v="Night"/>
    <n v="1030.0999999999999"/>
    <n v="4267.3"/>
    <n v="720.3"/>
    <n v="713.8"/>
    <n v="-6.5"/>
    <n v="-8.9999999999999993E-3"/>
    <n v="14.1"/>
    <n v="12.73"/>
    <n v="66.400000000000006"/>
    <n v="67.8"/>
    <n v="2"/>
    <m/>
    <s v="PASS"/>
    <n v="1"/>
    <s v="ERP-2023-0192"/>
    <m/>
  </r>
  <r>
    <s v="BTH-2023-0158"/>
    <n v="45212"/>
    <s v="SITE-02"/>
    <s v="Okotoks Malting Plant"/>
    <s v="South AB"/>
    <x v="3"/>
    <s v="Distillation"/>
    <s v="OP-04"/>
    <x v="2"/>
    <s v="Night"/>
    <n v="1090.9000000000001"/>
    <n v="5440.4"/>
    <n v="620.9"/>
    <n v="620"/>
    <n v="-0.9"/>
    <n v="-1.4E-3"/>
    <n v="8.6999999999999993"/>
    <n v="11.46"/>
    <n v="67.3"/>
    <n v="66.7"/>
    <n v="1"/>
    <s v="Instrument calibration"/>
    <s v="PASS"/>
    <n v="1"/>
    <s v="ERP-2023-0117"/>
    <m/>
  </r>
  <r>
    <s v="BTH-2023-0159"/>
    <n v="45213"/>
    <s v="SITE-05"/>
    <s v="Canmore Barrel House"/>
    <s v="Foothills AB"/>
    <x v="1"/>
    <s v="Bottling"/>
    <s v="OP-05"/>
    <x v="0"/>
    <s v="Night"/>
    <n v="560.20000000000005"/>
    <n v="1983.8"/>
    <n v="318.10000000000002"/>
    <n v="321"/>
    <n v="2.9"/>
    <n v="9.1000000000000004E-3"/>
    <n v="17.5"/>
    <n v="18.38"/>
    <n v="63.7"/>
    <n v="64"/>
    <n v="5"/>
    <m/>
    <s v="FAIL"/>
    <n v="0"/>
    <s v="ERP-2023-0012"/>
    <s v="Extended downtime — operations manager notified"/>
  </r>
  <r>
    <s v="BTH-2023-0160"/>
    <n v="45213"/>
    <s v="SITE-02"/>
    <s v="Okotoks Malting Plant"/>
    <s v="South AB"/>
    <x v="2"/>
    <s v="Bottling"/>
    <s v="OP-05"/>
    <x v="0"/>
    <s v="Day"/>
    <n v="994.7"/>
    <n v="3707.4"/>
    <n v="568.29999999999995"/>
    <n v="549.70000000000005"/>
    <n v="-18.600000000000001"/>
    <n v="-3.27E-2"/>
    <n v="4.5"/>
    <n v="4.9800000000000004"/>
    <n v="63.8"/>
    <n v="63.1"/>
    <n v="5"/>
    <s v="Yeast propagation delay"/>
    <s v="PASS"/>
    <n v="1"/>
    <s v="ERP-2023-0017"/>
    <s v="Extended downtime — operations manager notified"/>
  </r>
  <r>
    <s v="BTH-2023-0161"/>
    <n v="45213"/>
    <s v="SITE-03"/>
    <s v="Airdrie Bottling Facility"/>
    <s v="Central AB"/>
    <x v="1"/>
    <s v="Maturation"/>
    <s v="OP-05"/>
    <x v="0"/>
    <s v="Night"/>
    <n v="985.9"/>
    <n v="4335.2"/>
    <n v="666.8"/>
    <n v="642.29999999999995"/>
    <n v="-24.5"/>
    <n v="-3.6700000000000003E-2"/>
    <n v="7.5"/>
    <n v="7.68"/>
    <n v="63.8"/>
    <n v="61.7"/>
    <n v="1"/>
    <s v="Still head gasket failure"/>
    <s v="PASS"/>
    <n v="1"/>
    <s v="ERP-2023-0073"/>
    <s v="ABV under-strength — batch held pending QC review"/>
  </r>
  <r>
    <s v="BTH-2023-0162"/>
    <n v="45215"/>
    <s v="SITE-01"/>
    <s v="Calgary Distillery"/>
    <s v="Calgary Metro"/>
    <x v="3"/>
    <s v="Maturation"/>
    <s v="OP-02"/>
    <x v="1"/>
    <s v="Night"/>
    <n v="1106.5999999999999"/>
    <n v="5328.7"/>
    <n v="717.5"/>
    <n v="657.2"/>
    <n v="-60.3"/>
    <n v="-8.4000000000000005E-2"/>
    <n v="7.1"/>
    <n v="8.52"/>
    <n v="69.900000000000006"/>
    <n v="67.5"/>
    <n v="0"/>
    <m/>
    <s v="FAIL"/>
    <n v="0"/>
    <s v="ERP-2023-0031"/>
    <s v="Yield below threshold — reviewed with production lead"/>
  </r>
  <r>
    <s v="BTH-2023-0162"/>
    <n v="45215"/>
    <s v="SITE-01"/>
    <s v="Calgary Distillery"/>
    <s v="Calgary Metro"/>
    <x v="3"/>
    <s v="Maturation"/>
    <s v="OP-02"/>
    <x v="1"/>
    <s v="Night"/>
    <n v="1106.5999999999999"/>
    <n v="5328.7"/>
    <n v="717.5"/>
    <n v="657.2"/>
    <n v="-60.3"/>
    <n v="-8.4000000000000005E-2"/>
    <n v="7.1"/>
    <n v="8.52"/>
    <n v="69.900000000000006"/>
    <n v="67.5"/>
    <n v="0"/>
    <m/>
    <s v="FAIL"/>
    <n v="0"/>
    <s v="ERP-2023-0031"/>
    <s v="Yield below threshold — reviewed with production lead"/>
  </r>
  <r>
    <s v="BTH-2023-0163"/>
    <n v="45216"/>
    <s v="SITE-04"/>
    <s v="Red Deer Grain Store"/>
    <s v="Central AB"/>
    <x v="0"/>
    <s v="Distillation"/>
    <s v="OP-02"/>
    <x v="1"/>
    <s v="Night"/>
    <n v="1055.0999999999999"/>
    <n v="4668.3"/>
    <n v="626.1"/>
    <n v="646.70000000000005"/>
    <n v="20.6"/>
    <n v="3.2899999999999999E-2"/>
    <n v="6.9"/>
    <n v="5.88"/>
    <n v="63.8"/>
    <n v="64"/>
    <n v="5"/>
    <m/>
    <s v="PASS"/>
    <n v="1"/>
    <s v="ERP-2023-0071"/>
    <s v="Extended downtime — operations manager notified"/>
  </r>
  <r>
    <s v="BTH-2023-0164"/>
    <n v="45217"/>
    <s v="SITE-04"/>
    <s v="Red Deer Grain Store"/>
    <s v="Central AB"/>
    <x v="1"/>
    <s v="Mashing"/>
    <s v="OP-02"/>
    <x v="1"/>
    <s v="Day"/>
    <n v="1019.2"/>
    <n v="4327.8"/>
    <n v="614.9"/>
    <n v="545.9"/>
    <n v="-69"/>
    <n v="-0.11219999999999999"/>
    <n v="8.1999999999999993"/>
    <n v="7.34"/>
    <n v="69.400000000000006"/>
    <n v="71.3"/>
    <n v="1"/>
    <s v="Power fluctuation"/>
    <s v="FAIL"/>
    <n v="0"/>
    <s v="ERP-2023-0019"/>
    <s v="Yield below threshold — reviewed with production lead"/>
  </r>
  <r>
    <s v="BTH-2023-0165"/>
    <n v="45217"/>
    <s v="SITE-05"/>
    <s v="Canmore Barrel House"/>
    <s v="Foothills AB"/>
    <x v="3"/>
    <s v="Bottling"/>
    <s v="OP-04"/>
    <x v="2"/>
    <s v="Night"/>
    <n v="563.70000000000005"/>
    <n v="2243.8000000000002"/>
    <n v="350.7"/>
    <n v="325.3"/>
    <n v="-25.4"/>
    <n v="-7.2400000000000006E-2"/>
    <n v="5"/>
    <n v="6.05"/>
    <n v="66.3"/>
    <n v="65.900000000000006"/>
    <n v="0"/>
    <m/>
    <s v="FAIL"/>
    <n v="0"/>
    <s v="ERP-2023-0156"/>
    <m/>
  </r>
  <r>
    <s v="BTH-2023-0166"/>
    <n v="45221"/>
    <s v="SITE-03"/>
    <s v="Airdrie Bottling Facility"/>
    <s v="Central AB"/>
    <x v="1"/>
    <s v="Fermentation"/>
    <s v="OP-04"/>
    <x v="2"/>
    <s v="Night"/>
    <n v="542"/>
    <n v="2172.4"/>
    <n v="375.6"/>
    <n v="375.8"/>
    <n v="0.2"/>
    <n v="5.0000000000000001E-4"/>
    <n v="17.899999999999999"/>
    <n v="24.61"/>
    <n v="63"/>
    <n v="60.5"/>
    <n v="0"/>
    <m/>
    <s v="PASS"/>
    <n v="1"/>
    <s v="ERP-2023-0045"/>
    <s v="ABV under-strength — batch held pending QC review"/>
  </r>
  <r>
    <s v="BTH-2023-0167"/>
    <n v="45222"/>
    <s v="SITE-05"/>
    <s v="Canmore Barrel House"/>
    <s v="Foothills AB"/>
    <x v="2"/>
    <s v="Fermentation"/>
    <s v="OP-03"/>
    <x v="4"/>
    <s v="Day"/>
    <n v="527.4"/>
    <n v="2256.5"/>
    <n v="352.5"/>
    <n v="348.9"/>
    <n v="-3.6"/>
    <n v="-1.0200000000000001E-2"/>
    <n v="4.8"/>
    <n v="6.6"/>
    <n v="63.5"/>
    <n v="61.7"/>
    <n v="0"/>
    <m/>
    <s v="FAIL"/>
    <n v="0"/>
    <s v="ERP-2023-0026"/>
    <m/>
  </r>
  <r>
    <s v="BTH-2023-0168"/>
    <n v="45223"/>
    <s v="SITE-05"/>
    <s v="Canmore Barrel House"/>
    <s v="Foothills AB"/>
    <x v="1"/>
    <s v="Distillation"/>
    <s v="OP-02"/>
    <x v="1"/>
    <s v="Night"/>
    <n v="659.1"/>
    <n v="3216.1"/>
    <n v="365.3"/>
    <n v="390.7"/>
    <n v="25.4"/>
    <n v="6.9500000000000006E-2"/>
    <n v="14.5"/>
    <n v="17.739999999999998"/>
    <n v="69"/>
    <n v="67.5"/>
    <n v="0"/>
    <m/>
    <s v="PASS"/>
    <n v="1"/>
    <s v="ERP-2023-0070"/>
    <m/>
  </r>
  <r>
    <s v="BTH-2023-0169"/>
    <n v="45223"/>
    <s v="SITE-05"/>
    <s v="Canmore Barrel House"/>
    <s v="Foothills AB"/>
    <x v="4"/>
    <s v="Mashing"/>
    <s v="OP-02"/>
    <x v="1"/>
    <s v="Day"/>
    <n v="798.9"/>
    <n v="3041.6"/>
    <n v="461.6"/>
    <n v="460"/>
    <n v="-1.6"/>
    <n v="-3.5000000000000001E-3"/>
    <n v="10.6"/>
    <n v="9.18"/>
    <n v="70"/>
    <n v="70.5"/>
    <n v="5"/>
    <m/>
    <s v="PASS"/>
    <n v="1"/>
    <s v="ERP-2023-0078"/>
    <s v="Extended downtime — operations manager notified"/>
  </r>
  <r>
    <s v="BTH-2023-0170"/>
    <n v="45224"/>
    <s v="SITE-05"/>
    <s v="Canmore Barrel House"/>
    <s v="Foothills AB"/>
    <x v="3"/>
    <s v="Distillation"/>
    <s v="OP-04"/>
    <x v="2"/>
    <s v="Day"/>
    <n v="1167.5"/>
    <n v="5762.6"/>
    <n v="675.5"/>
    <n v="598.1"/>
    <n v="-77.400000000000006"/>
    <n v="-0.11459999999999999"/>
    <n v="8.4"/>
    <n v="10.42"/>
    <n v="62.7"/>
    <n v="64.5"/>
    <n v="2"/>
    <m/>
    <s v="FAIL"/>
    <n v="0"/>
    <s v="ERP-2023-0177"/>
    <s v="Yield below threshold — reviewed with production lead"/>
  </r>
  <r>
    <s v="BTH-2023-0171"/>
    <n v="45224"/>
    <s v="SITE-03"/>
    <s v="Airdrie Bottling Facility"/>
    <s v="Central AB"/>
    <x v="4"/>
    <s v="Bottling"/>
    <s v="OP-02"/>
    <x v="1"/>
    <s v="Night"/>
    <n v="867.6"/>
    <n v="3527.1"/>
    <n v="599.5"/>
    <n v="571.29999999999995"/>
    <n v="-28.2"/>
    <n v="-4.7E-2"/>
    <n v="7.1"/>
    <n v="5.83"/>
    <n v="68.8"/>
    <n v="69.099999999999994"/>
    <n v="0"/>
    <m/>
    <s v="PASS"/>
    <n v="1"/>
    <s v="ERP-2023-0180"/>
    <m/>
  </r>
  <r>
    <s v="BTH-2023-0172"/>
    <n v="45226"/>
    <s v="SITE-02"/>
    <s v="Okotoks Malting Plant"/>
    <s v="South AB"/>
    <x v="2"/>
    <s v="Bottling"/>
    <s v="OP-01"/>
    <x v="3"/>
    <s v="Day"/>
    <n v="718.3"/>
    <n v="3578.5"/>
    <n v="405.1"/>
    <n v="407.8"/>
    <n v="2.7"/>
    <n v="6.7000000000000002E-3"/>
    <n v="6"/>
    <n v="5.62"/>
    <n v="67.5"/>
    <n v="69.099999999999994"/>
    <n v="0"/>
    <m/>
    <s v="FAIL"/>
    <n v="0"/>
    <s v="ERP-2023-0105"/>
    <m/>
  </r>
  <r>
    <s v="BTH-2023-0173"/>
    <n v="45233"/>
    <s v="SITE-01"/>
    <s v="Calgary Distillery"/>
    <s v="Calgary Metro"/>
    <x v="3"/>
    <s v="Bottling"/>
    <s v="OP-02"/>
    <x v="1"/>
    <s v="Day"/>
    <n v="812.2"/>
    <n v="3356.3"/>
    <n v="536.70000000000005"/>
    <n v="528.9"/>
    <n v="-7.8"/>
    <n v="-1.4500000000000001E-2"/>
    <n v="16"/>
    <n v="16.8"/>
    <n v="62.1"/>
    <n v="59.8"/>
    <n v="0.5"/>
    <s v="Cooling water interruption"/>
    <s v="PASS"/>
    <n v="1"/>
    <s v="ERP-2023-0062"/>
    <s v="ABV under-strength — batch held pending QC review"/>
  </r>
  <r>
    <s v="BTH-2023-0173"/>
    <n v="45233"/>
    <s v="SITE-01"/>
    <s v="Calgary Distillery"/>
    <s v="Calgary Metro"/>
    <x v="3"/>
    <s v="Bottling"/>
    <s v="OP-02"/>
    <x v="1"/>
    <s v="Day"/>
    <n v="812.2"/>
    <n v="3356.3"/>
    <n v="536.70000000000005"/>
    <n v="528.9"/>
    <n v="-7.8"/>
    <n v="-1.4500000000000001E-2"/>
    <n v="16"/>
    <n v="16.8"/>
    <n v="62.1"/>
    <n v="59.8"/>
    <n v="0.5"/>
    <s v="Cooling water interruption"/>
    <s v="PASS"/>
    <n v="1"/>
    <s v="ERP-2023-0062"/>
    <s v="ABV under-strength — batch held pending QC review"/>
  </r>
  <r>
    <s v="BTH-2023-0174"/>
    <n v="45238"/>
    <s v="SITE-01"/>
    <s v="Calgary Distillery"/>
    <s v="Calgary Metro"/>
    <x v="0"/>
    <s v="Distillation"/>
    <s v="OP-01"/>
    <x v="3"/>
    <s v="Day"/>
    <n v="949.2"/>
    <n v="4403.5"/>
    <n v="659"/>
    <n v="695.2"/>
    <n v="36.200000000000003"/>
    <n v="5.4899999999999997E-2"/>
    <n v="5.9"/>
    <n v="6.75"/>
    <n v="67"/>
    <n v="65.2"/>
    <n v="0"/>
    <m/>
    <s v="FAIL"/>
    <n v="0"/>
    <s v="ERP-2023-0044"/>
    <m/>
  </r>
  <r>
    <s v="BTH-2023-0174"/>
    <n v="45238"/>
    <s v="SITE-01"/>
    <s v="Calgary Distillery"/>
    <s v="Calgary Metro"/>
    <x v="0"/>
    <s v="Distillation"/>
    <s v="OP-01"/>
    <x v="3"/>
    <s v="Day"/>
    <n v="949.2"/>
    <n v="4403.5"/>
    <n v="659"/>
    <n v="695.2"/>
    <n v="36.200000000000003"/>
    <n v="5.4899999999999997E-2"/>
    <n v="5.9"/>
    <n v="6.75"/>
    <n v="67"/>
    <n v="65.2"/>
    <n v="0"/>
    <m/>
    <s v="FAIL"/>
    <n v="0"/>
    <s v="ERP-2023-0044"/>
    <m/>
  </r>
  <r>
    <s v="BTH-2023-0175"/>
    <n v="45241"/>
    <s v="SITE-04"/>
    <s v="Red Deer Grain Store"/>
    <s v="Central AB"/>
    <x v="3"/>
    <s v="Fermentation"/>
    <s v="OP-05"/>
    <x v="0"/>
    <s v="Day"/>
    <n v="1133.8"/>
    <n v="4425.8999999999996"/>
    <n v="784.7"/>
    <n v="791.4"/>
    <n v="6.7"/>
    <n v="8.5000000000000006E-3"/>
    <n v="13.3"/>
    <n v="18.350000000000001"/>
    <n v="65.8"/>
    <n v="67.599999999999994"/>
    <n v="0"/>
    <m/>
    <s v="FAIL"/>
    <n v="0"/>
    <s v="ERP-2023-0155"/>
    <m/>
  </r>
  <r>
    <s v="BTH-2023-0176"/>
    <n v="45244"/>
    <s v="SITE-01"/>
    <s v="Calgary Distillery"/>
    <s v="Calgary Metro"/>
    <x v="2"/>
    <s v="Distillation"/>
    <s v="OP-05"/>
    <x v="0"/>
    <s v="Day"/>
    <n v="570.1"/>
    <n v="2753.8"/>
    <n v="364.1"/>
    <n v="361.6"/>
    <n v="-2.5"/>
    <n v="-6.8999999999999999E-3"/>
    <n v="14.9"/>
    <n v="13.01"/>
    <n v="60.2"/>
    <n v="60.2"/>
    <n v="5"/>
    <m/>
    <s v="FAIL"/>
    <n v="0"/>
    <s v="ERP-2023-0029"/>
    <s v="Extended downtime — operations manager notified"/>
  </r>
  <r>
    <s v="BTH-2023-0176"/>
    <n v="45244"/>
    <s v="SITE-01"/>
    <s v="Calgary Distillery"/>
    <s v="Calgary Metro"/>
    <x v="2"/>
    <s v="Distillation"/>
    <s v="OP-05"/>
    <x v="0"/>
    <s v="Day"/>
    <n v="570.1"/>
    <n v="2753.8"/>
    <n v="364.1"/>
    <n v="361.6"/>
    <n v="-2.5"/>
    <n v="-6.8999999999999999E-3"/>
    <n v="14.9"/>
    <n v="13.01"/>
    <n v="60.2"/>
    <n v="60.2"/>
    <n v="5"/>
    <m/>
    <s v="FAIL"/>
    <n v="0"/>
    <s v="ERP-2023-0029"/>
    <s v="Extended downtime — operations manager notified"/>
  </r>
  <r>
    <s v="BTH-2023-0177"/>
    <n v="45244"/>
    <s v="SITE-03"/>
    <s v="Airdrie Bottling Facility"/>
    <s v="Central AB"/>
    <x v="1"/>
    <s v="Distillation"/>
    <s v="OP-05"/>
    <x v="0"/>
    <s v="Night"/>
    <n v="503.9"/>
    <n v="2540.1999999999998"/>
    <n v="360.6"/>
    <n v="370.2"/>
    <n v="9.6"/>
    <n v="2.6599999999999999E-2"/>
    <n v="14.5"/>
    <n v="18.13"/>
    <n v="67.900000000000006"/>
    <n v="68.400000000000006"/>
    <n v="0"/>
    <m/>
    <s v="PASS"/>
    <n v="1"/>
    <s v="ERP-2023-0064"/>
    <m/>
  </r>
  <r>
    <s v="BTH-2023-0178"/>
    <n v="45246"/>
    <s v="SITE-05"/>
    <s v="Canmore Barrel House"/>
    <s v="Foothills AB"/>
    <x v="2"/>
    <s v="Blending"/>
    <s v="OP-04"/>
    <x v="2"/>
    <s v="Night"/>
    <n v="679.7"/>
    <n v="3440.4"/>
    <n v="386.1"/>
    <n v="397.4"/>
    <n v="11.3"/>
    <n v="2.93E-2"/>
    <n v="13.8"/>
    <n v="14.75"/>
    <n v="61.7"/>
    <n v="63"/>
    <n v="5"/>
    <s v="Instrument calibration"/>
    <s v="PASS"/>
    <n v="1"/>
    <s v="ERP-2023-0174"/>
    <s v="Extended downtime — operations manager notified"/>
  </r>
  <r>
    <s v="BTH-2023-0179"/>
    <n v="45250"/>
    <s v="SITE-04"/>
    <s v="Red Deer Grain Store"/>
    <s v="Central AB"/>
    <x v="3"/>
    <s v="Distillation"/>
    <s v="OP-03"/>
    <x v="4"/>
    <s v="Night"/>
    <n v="1068.8"/>
    <n v="5141.2"/>
    <n v="607.20000000000005"/>
    <n v="625.70000000000005"/>
    <n v="18.5"/>
    <n v="3.0499999999999999E-2"/>
    <n v="11.5"/>
    <n v="16.079999999999998"/>
    <n v="62.5"/>
    <n v="62.4"/>
    <n v="0"/>
    <m/>
    <s v="PASS"/>
    <n v="1"/>
    <s v="ERP-2023-0197"/>
    <m/>
  </r>
  <r>
    <s v="BTH-2023-0180"/>
    <n v="45251"/>
    <s v="SITE-01"/>
    <s v="Calgary Distillery"/>
    <s v="Calgary Metro"/>
    <x v="1"/>
    <s v="Fermentation"/>
    <s v="OP-04"/>
    <x v="2"/>
    <s v="Day"/>
    <n v="1033.5"/>
    <n v="3941.8"/>
    <n v="660.1"/>
    <n v="629.20000000000005"/>
    <n v="-30.9"/>
    <n v="-4.6800000000000001E-2"/>
    <n v="12.9"/>
    <n v="15.89"/>
    <n v="63.3"/>
    <n v="63.2"/>
    <n v="0"/>
    <m/>
    <s v="PASS"/>
    <n v="1"/>
    <s v="ERP-2023-0128"/>
    <m/>
  </r>
  <r>
    <s v="BTH-2023-0180"/>
    <n v="45251"/>
    <s v="SITE-01"/>
    <s v="Calgary Distillery"/>
    <s v="Calgary Metro"/>
    <x v="1"/>
    <s v="Fermentation"/>
    <s v="OP-04"/>
    <x v="2"/>
    <s v="Day"/>
    <n v="1033.5"/>
    <n v="3941.8"/>
    <n v="660.1"/>
    <n v="629.20000000000005"/>
    <n v="-30.9"/>
    <n v="-4.6800000000000001E-2"/>
    <n v="12.9"/>
    <n v="15.89"/>
    <n v="63.3"/>
    <n v="63.2"/>
    <n v="0"/>
    <m/>
    <s v="PASS"/>
    <n v="1"/>
    <s v="ERP-2023-0128"/>
    <m/>
  </r>
  <r>
    <s v="BTH-2023-0181"/>
    <n v="45252"/>
    <s v="SITE-03"/>
    <s v="Airdrie Bottling Facility"/>
    <s v="Central AB"/>
    <x v="4"/>
    <s v="Bottling"/>
    <s v="OP-02"/>
    <x v="1"/>
    <s v="Night"/>
    <n v="631.1"/>
    <n v="2549.3000000000002"/>
    <n v="404.2"/>
    <n v="409.1"/>
    <n v="4.9000000000000004"/>
    <n v="1.21E-2"/>
    <n v="8.6999999999999993"/>
    <n v="6.97"/>
    <n v="68.5"/>
    <n v="70.400000000000006"/>
    <n v="0"/>
    <m/>
    <s v="PASS"/>
    <n v="1"/>
    <s v="ERP-2023-0093"/>
    <m/>
  </r>
  <r>
    <s v="BTH-2023-0182"/>
    <n v="45254"/>
    <s v="SITE-02"/>
    <s v="Okotoks Malting Plant"/>
    <s v="South AB"/>
    <x v="4"/>
    <s v="Distillation"/>
    <s v="OP-05"/>
    <x v="0"/>
    <s v="Night"/>
    <n v="1060.0999999999999"/>
    <n v="3978.2"/>
    <n v="752.7"/>
    <n v="739.7"/>
    <n v="-13"/>
    <n v="-1.7299999999999999E-2"/>
    <n v="14.3"/>
    <n v="17.600000000000001"/>
    <n v="67.8"/>
    <n v="66.099999999999994"/>
    <n v="0"/>
    <m/>
    <s v="PASS"/>
    <n v="1"/>
    <s v="ERP-2023-0005"/>
    <m/>
  </r>
  <r>
    <s v="BTH-2023-0183"/>
    <n v="45258"/>
    <s v="SITE-05"/>
    <s v="Canmore Barrel House"/>
    <s v="Foothills AB"/>
    <x v="4"/>
    <s v="Blending"/>
    <s v="OP-05"/>
    <x v="0"/>
    <s v="Night"/>
    <n v="495.1"/>
    <n v="2292.6"/>
    <n v="295.10000000000002"/>
    <n v="300.39999999999998"/>
    <n v="5.3"/>
    <n v="1.7999999999999999E-2"/>
    <n v="8.6"/>
    <n v="8.19"/>
    <n v="63.5"/>
    <n v="61.1"/>
    <n v="3"/>
    <s v="Yeast propagation delay"/>
    <s v="PASS"/>
    <n v="1"/>
    <s v="ERP-2023-0122"/>
    <s v="ABV under-strength — batch held pending QC review"/>
  </r>
  <r>
    <s v="BTH-2023-0184"/>
    <n v="45263"/>
    <s v="SITE-01"/>
    <s v="Calgary Distillery"/>
    <s v="Calgary Metro"/>
    <x v="3"/>
    <s v="Blending"/>
    <s v="OP-05"/>
    <x v="0"/>
    <s v="Day"/>
    <n v="970"/>
    <n v="4064"/>
    <n v="582.29999999999995"/>
    <n v="592.9"/>
    <n v="10.6"/>
    <n v="1.8200000000000001E-2"/>
    <n v="4.4000000000000004"/>
    <n v="4.41"/>
    <n v="61.1"/>
    <n v="59.6"/>
    <n v="0"/>
    <m/>
    <s v="PASS"/>
    <n v="1"/>
    <s v="ERP-2023-0092"/>
    <m/>
  </r>
  <r>
    <s v="BTH-2023-0184"/>
    <n v="45263"/>
    <s v="SITE-01"/>
    <s v="Calgary Distillery"/>
    <s v="Calgary Metro"/>
    <x v="3"/>
    <s v="Blending"/>
    <s v="OP-05"/>
    <x v="0"/>
    <s v="Day"/>
    <n v="970"/>
    <n v="4064"/>
    <n v="582.29999999999995"/>
    <n v="592.9"/>
    <n v="10.6"/>
    <n v="1.8200000000000001E-2"/>
    <n v="4.4000000000000004"/>
    <n v="4.41"/>
    <n v="61.1"/>
    <n v="59.6"/>
    <n v="0"/>
    <m/>
    <s v="PASS"/>
    <n v="1"/>
    <s v="ERP-2023-0092"/>
    <m/>
  </r>
  <r>
    <s v="BTH-2023-0185"/>
    <n v="45267"/>
    <s v="SITE-03"/>
    <s v="Airdrie Bottling Facility"/>
    <s v="Central AB"/>
    <x v="1"/>
    <s v="Mashing"/>
    <s v="OP-01"/>
    <x v="3"/>
    <s v="Night"/>
    <n v="457.6"/>
    <n v="1676.2"/>
    <n v="267.39999999999998"/>
    <n v="273.60000000000002"/>
    <n v="6.2"/>
    <n v="2.3199999999999998E-2"/>
    <n v="17.7"/>
    <n v="23.27"/>
    <n v="60.5"/>
    <n v="58.7"/>
    <n v="0"/>
    <m/>
    <s v="FAIL"/>
    <n v="0"/>
    <s v="ERP-2023-0056"/>
    <m/>
  </r>
  <r>
    <s v="BTH-2023-0186"/>
    <n v="45268"/>
    <s v="SITE-04"/>
    <s v="Red Deer Grain Store"/>
    <s v="Central AB"/>
    <x v="3"/>
    <s v="Maturation"/>
    <s v="OP-03"/>
    <x v="4"/>
    <s v="Day"/>
    <n v="676.3"/>
    <n v="3269.3"/>
    <n v="451.8"/>
    <n v="469.7"/>
    <n v="17.899999999999999"/>
    <n v="3.9600000000000003E-2"/>
    <n v="13.3"/>
    <n v="12.01"/>
    <n v="66.400000000000006"/>
    <n v="67.2"/>
    <n v="5"/>
    <s v="Yeast propagation delay"/>
    <s v="FAIL"/>
    <n v="0"/>
    <s v="ERP-2023-0010"/>
    <s v="Extended downtime — operations manager notified"/>
  </r>
  <r>
    <s v="BTH-2023-0187"/>
    <n v="45269"/>
    <s v="SITE-02"/>
    <s v="Okotoks Malting Plant"/>
    <s v="South AB"/>
    <x v="0"/>
    <s v="Maturation"/>
    <s v="OP-01"/>
    <x v="3"/>
    <s v="Day"/>
    <n v="673.9"/>
    <n v="2880.5"/>
    <n v="425.6"/>
    <n v="417.6"/>
    <n v="-8"/>
    <n v="-1.8800000000000001E-2"/>
    <n v="10.5"/>
    <n v="13.55"/>
    <n v="64.900000000000006"/>
    <n v="63.6"/>
    <n v="3"/>
    <s v="Yeast propagation delay"/>
    <s v="FAIL"/>
    <n v="0"/>
    <s v="ERP-2023-0115"/>
    <s v="Extended downtime — operations manager notified"/>
  </r>
  <r>
    <s v="BTH-2023-0188"/>
    <n v="45272"/>
    <s v="SITE-05"/>
    <s v="Canmore Barrel House"/>
    <s v="Foothills AB"/>
    <x v="4"/>
    <s v="Maturation"/>
    <s v="OP-03"/>
    <x v="4"/>
    <s v="Day"/>
    <n v="448.5"/>
    <n v="2377.1999999999998"/>
    <n v="268.39999999999998"/>
    <n v="274.3"/>
    <n v="5.9"/>
    <n v="2.1999999999999999E-2"/>
    <n v="5.3"/>
    <n v="5.73"/>
    <n v="65.8"/>
    <n v="66"/>
    <n v="0"/>
    <m/>
    <s v="PASS"/>
    <n v="1"/>
    <s v="ERP-2023-0132"/>
    <m/>
  </r>
  <r>
    <s v="BTH-2023-0189"/>
    <n v="45278"/>
    <s v="SITE-01"/>
    <s v="Calgary Distillery"/>
    <s v="Calgary Metro"/>
    <x v="0"/>
    <s v="Fermentation"/>
    <s v="OP-02"/>
    <x v="1"/>
    <s v="Day"/>
    <n v="425.2"/>
    <n v="2312.6"/>
    <n v="291.60000000000002"/>
    <n v="313"/>
    <n v="21.4"/>
    <n v="7.3400000000000007E-2"/>
    <n v="10.199999999999999"/>
    <n v="10.86"/>
    <n v="62.1"/>
    <n v="63.8"/>
    <n v="0"/>
    <m/>
    <s v="FAIL"/>
    <n v="0"/>
    <s v="ERP-2023-0167"/>
    <m/>
  </r>
  <r>
    <s v="BTH-2023-0189"/>
    <n v="45278"/>
    <s v="SITE-01"/>
    <s v="Calgary Distillery"/>
    <s v="Calgary Metro"/>
    <x v="0"/>
    <s v="Fermentation"/>
    <s v="OP-02"/>
    <x v="1"/>
    <s v="Day"/>
    <n v="425.2"/>
    <n v="2312.6"/>
    <n v="291.60000000000002"/>
    <n v="313"/>
    <n v="21.4"/>
    <n v="7.3400000000000007E-2"/>
    <n v="10.199999999999999"/>
    <n v="10.86"/>
    <n v="62.1"/>
    <n v="63.8"/>
    <n v="0"/>
    <m/>
    <s v="FAIL"/>
    <n v="0"/>
    <s v="ERP-2023-0167"/>
    <m/>
  </r>
  <r>
    <s v="BTH-2023-0190"/>
    <n v="45281"/>
    <s v="SITE-03"/>
    <s v="Airdrie Bottling Facility"/>
    <s v="Central AB"/>
    <x v="4"/>
    <s v="Maturation"/>
    <s v="OP-05"/>
    <x v="0"/>
    <s v="Night"/>
    <n v="1014.1"/>
    <n v="5383.5"/>
    <n v="603.1"/>
    <n v="615.4"/>
    <n v="12.3"/>
    <n v="2.0400000000000001E-2"/>
    <n v="7.8"/>
    <n v="7.38"/>
    <n v="69.3"/>
    <n v="67.900000000000006"/>
    <n v="0"/>
    <m/>
    <s v="PASS"/>
    <n v="1"/>
    <s v="ERP-2023-0028"/>
    <m/>
  </r>
  <r>
    <s v="BTH-2023-0191"/>
    <n v="45281"/>
    <s v="SITE-05"/>
    <s v="Canmore Barrel House"/>
    <s v="Foothills AB"/>
    <x v="0"/>
    <s v="Mashing"/>
    <s v="OP-04"/>
    <x v="2"/>
    <s v="Day"/>
    <n v="948.4"/>
    <n v="4082.6"/>
    <n v="528.29999999999995"/>
    <n v="521"/>
    <n v="-7.3"/>
    <n v="-1.38E-2"/>
    <n v="7.5"/>
    <n v="9.9499999999999993"/>
    <n v="68.599999999999994"/>
    <n v="70.5"/>
    <n v="0"/>
    <m/>
    <s v="PASS"/>
    <n v="1"/>
    <s v="ERP-2023-0151"/>
    <m/>
  </r>
  <r>
    <s v="BTH-2023-0192"/>
    <n v="45282"/>
    <s v="SITE-01"/>
    <s v="Calgary Distillery"/>
    <s v="Calgary Metro"/>
    <x v="2"/>
    <s v="Bottling"/>
    <s v="OP-04"/>
    <x v="2"/>
    <s v="Night"/>
    <n v="809.8"/>
    <n v="4294"/>
    <n v="476.8"/>
    <n v="490.9"/>
    <n v="14.1"/>
    <n v="2.9600000000000001E-2"/>
    <n v="7"/>
    <n v="8.32"/>
    <n v="61.6"/>
    <n v="61.9"/>
    <n v="0"/>
    <m/>
    <s v="PASS"/>
    <n v="1"/>
    <s v="ERP-2023-0021"/>
    <m/>
  </r>
  <r>
    <s v="BTH-2023-0192"/>
    <n v="45282"/>
    <s v="SITE-01"/>
    <s v="Calgary Distillery"/>
    <s v="Calgary Metro"/>
    <x v="2"/>
    <s v="Bottling"/>
    <s v="OP-04"/>
    <x v="2"/>
    <s v="Night"/>
    <n v="809.8"/>
    <n v="4294"/>
    <n v="476.8"/>
    <n v="490.9"/>
    <n v="14.1"/>
    <n v="2.9600000000000001E-2"/>
    <n v="7"/>
    <n v="8.32"/>
    <n v="61.6"/>
    <n v="61.9"/>
    <n v="0"/>
    <m/>
    <s v="PASS"/>
    <n v="1"/>
    <s v="ERP-2023-0021"/>
    <m/>
  </r>
  <r>
    <s v="BTH-2023-0193"/>
    <n v="45283"/>
    <s v="SITE-01"/>
    <s v="Calgary Distillery"/>
    <s v="Calgary Metro"/>
    <x v="1"/>
    <s v="Maturation"/>
    <s v="OP-05"/>
    <x v="0"/>
    <s v="Night"/>
    <n v="550"/>
    <n v="2839.2"/>
    <n v="313.5"/>
    <n v="333.5"/>
    <n v="20"/>
    <n v="6.3799999999999996E-2"/>
    <n v="16"/>
    <n v="20.66"/>
    <n v="68.2"/>
    <n v="69.3"/>
    <n v="0"/>
    <m/>
    <s v="PASS"/>
    <n v="1"/>
    <s v="ERP-2023-0136"/>
    <m/>
  </r>
  <r>
    <s v="BTH-2023-0193"/>
    <n v="45283"/>
    <s v="SITE-01"/>
    <s v="Calgary Distillery"/>
    <s v="Calgary Metro"/>
    <x v="1"/>
    <s v="Maturation"/>
    <s v="OP-05"/>
    <x v="0"/>
    <s v="Night"/>
    <n v="550"/>
    <n v="2839.2"/>
    <n v="313.5"/>
    <n v="333.5"/>
    <n v="20"/>
    <n v="6.3799999999999996E-2"/>
    <n v="16"/>
    <n v="20.66"/>
    <n v="68.2"/>
    <n v="69.3"/>
    <n v="0"/>
    <m/>
    <s v="PASS"/>
    <n v="1"/>
    <s v="ERP-2023-0136"/>
    <m/>
  </r>
  <r>
    <s v="BTH-2023-0194"/>
    <n v="45284"/>
    <s v="SITE-01"/>
    <s v="Calgary Distillery"/>
    <s v="Calgary Metro"/>
    <x v="2"/>
    <s v="Maturation"/>
    <s v="OP-02"/>
    <x v="1"/>
    <s v="Day"/>
    <n v="599.70000000000005"/>
    <n v="2675.8"/>
    <n v="382.5"/>
    <n v="393.2"/>
    <n v="10.7"/>
    <n v="2.8000000000000001E-2"/>
    <n v="13"/>
    <n v="14.67"/>
    <n v="60.5"/>
    <n v="62.4"/>
    <n v="0"/>
    <m/>
    <s v="PASS"/>
    <n v="1"/>
    <s v="ERP-2023-0113"/>
    <m/>
  </r>
  <r>
    <s v="BTH-2023-0194"/>
    <n v="45284"/>
    <s v="SITE-01"/>
    <s v="Calgary Distillery"/>
    <s v="Calgary Metro"/>
    <x v="2"/>
    <s v="Maturation"/>
    <s v="OP-02"/>
    <x v="1"/>
    <s v="Day"/>
    <n v="599.70000000000005"/>
    <n v="2675.8"/>
    <n v="382.5"/>
    <n v="393.2"/>
    <n v="10.7"/>
    <n v="2.8000000000000001E-2"/>
    <n v="13"/>
    <n v="14.67"/>
    <n v="60.5"/>
    <n v="62.4"/>
    <n v="0"/>
    <m/>
    <s v="PASS"/>
    <n v="1"/>
    <s v="ERP-2023-0113"/>
    <m/>
  </r>
  <r>
    <s v="BTH-2023-0195"/>
    <n v="45284"/>
    <s v="SITE-01"/>
    <s v="Calgary Distillery"/>
    <s v="Calgary Metro"/>
    <x v="0"/>
    <s v="Bottling"/>
    <s v="OP-05"/>
    <x v="0"/>
    <s v="Day"/>
    <n v="1199"/>
    <n v="6302.6"/>
    <n v="739.3"/>
    <n v="752.8"/>
    <n v="13.5"/>
    <n v="1.83E-2"/>
    <n v="7.4"/>
    <n v="5.95"/>
    <n v="62.6"/>
    <n v="64.400000000000006"/>
    <n v="5"/>
    <s v="Cooling water interruption"/>
    <s v="PASS"/>
    <n v="1"/>
    <s v="ERP-2023-0199"/>
    <s v="Extended downtime — operations manager notified"/>
  </r>
  <r>
    <s v="BTH-2023-0195"/>
    <n v="45284"/>
    <s v="SITE-01"/>
    <s v="Calgary Distillery"/>
    <s v="Calgary Metro"/>
    <x v="0"/>
    <s v="Bottling"/>
    <s v="OP-05"/>
    <x v="0"/>
    <s v="Day"/>
    <n v="1199"/>
    <n v="6302.6"/>
    <n v="739.3"/>
    <n v="752.8"/>
    <n v="13.5"/>
    <n v="1.83E-2"/>
    <n v="7.4"/>
    <n v="5.95"/>
    <n v="62.6"/>
    <n v="64.400000000000006"/>
    <n v="5"/>
    <s v="Cooling water interruption"/>
    <s v="PASS"/>
    <n v="1"/>
    <s v="ERP-2023-0199"/>
    <s v="Extended downtime — operations manager notified"/>
  </r>
  <r>
    <s v="BTH-2023-0196"/>
    <n v="45286"/>
    <s v="SITE-03"/>
    <s v="Airdrie Bottling Facility"/>
    <s v="Central AB"/>
    <x v="3"/>
    <s v="Fermentation"/>
    <s v="OP-01"/>
    <x v="3"/>
    <s v="Day"/>
    <n v="822.9"/>
    <n v="3246.2"/>
    <n v="488.4"/>
    <n v="488.4"/>
    <n v="0"/>
    <n v="0"/>
    <n v="16.399999999999999"/>
    <n v="16.809999999999999"/>
    <n v="61.7"/>
    <n v="60"/>
    <n v="0.5"/>
    <m/>
    <s v="FAIL"/>
    <n v="0"/>
    <s v="ERP-2023-0046"/>
    <m/>
  </r>
  <r>
    <s v="BTH-2023-0197"/>
    <n v="45286"/>
    <s v="SITE-01"/>
    <s v="Calgary Distillery"/>
    <s v="Calgary Metro"/>
    <x v="0"/>
    <s v="Bottling"/>
    <s v="OP-02"/>
    <x v="1"/>
    <s v="Day"/>
    <n v="806"/>
    <n v="2833.7"/>
    <n v="567.70000000000005"/>
    <n v="563.5"/>
    <n v="-4.2"/>
    <n v="-7.4000000000000003E-3"/>
    <n v="6.7"/>
    <n v="6.23"/>
    <n v="67.7"/>
    <n v="68.900000000000006"/>
    <n v="0"/>
    <m/>
    <s v="PASS"/>
    <n v="1"/>
    <s v="ERP-2023-0103"/>
    <m/>
  </r>
  <r>
    <s v="BTH-2023-0197"/>
    <n v="45286"/>
    <s v="SITE-01"/>
    <s v="Calgary Distillery"/>
    <s v="Calgary Metro"/>
    <x v="0"/>
    <s v="Bottling"/>
    <s v="OP-02"/>
    <x v="1"/>
    <s v="Day"/>
    <n v="806"/>
    <n v="2833.7"/>
    <n v="567.70000000000005"/>
    <n v="563.5"/>
    <n v="-4.2"/>
    <n v="-7.4000000000000003E-3"/>
    <n v="6.7"/>
    <n v="6.23"/>
    <n v="67.7"/>
    <n v="68.900000000000006"/>
    <n v="0"/>
    <m/>
    <s v="PASS"/>
    <n v="1"/>
    <s v="ERP-2023-0103"/>
    <m/>
  </r>
  <r>
    <s v="BTH-2023-0198"/>
    <n v="45287"/>
    <s v="SITE-05"/>
    <s v="Canmore Barrel House"/>
    <s v="Foothills AB"/>
    <x v="4"/>
    <s v="Bottling"/>
    <s v="OP-01"/>
    <x v="3"/>
    <s v="Day"/>
    <n v="728.2"/>
    <n v="2603.4"/>
    <n v="425.3"/>
    <n v="407.9"/>
    <n v="-17.399999999999999"/>
    <n v="-4.0899999999999999E-2"/>
    <n v="14.5"/>
    <n v="15.34"/>
    <n v="68.2"/>
    <n v="70.2"/>
    <n v="0"/>
    <m/>
    <s v="FAIL"/>
    <n v="0"/>
    <s v="ERP-2023-0169"/>
    <m/>
  </r>
  <r>
    <s v="BTH-2023-0199"/>
    <n v="45290"/>
    <s v="SITE-02"/>
    <s v="Okotoks Malting Plant"/>
    <s v="South AB"/>
    <x v="2"/>
    <s v="Bottling"/>
    <s v="OP-02"/>
    <x v="1"/>
    <s v="Day"/>
    <n v="610"/>
    <n v="3147.1"/>
    <n v="433.3"/>
    <n v="397.1"/>
    <n v="-36.200000000000003"/>
    <n v="-8.3500000000000005E-2"/>
    <n v="14.9"/>
    <n v="19.09"/>
    <n v="65.3"/>
    <n v="63.5"/>
    <n v="0"/>
    <m/>
    <s v="PASS"/>
    <n v="1"/>
    <s v="ERP-2023-0114"/>
    <s v="Yield below threshold — reviewed with production lead"/>
  </r>
  <r>
    <s v="BTH-2023-0200"/>
    <n v="45291"/>
    <s v="SITE-03"/>
    <s v="Airdrie Bottling Facility"/>
    <s v="Central AB"/>
    <x v="0"/>
    <s v="Fermentation"/>
    <s v="OP-03"/>
    <x v="4"/>
    <s v="Night"/>
    <n v="692.3"/>
    <n v="2892.6"/>
    <n v="412.5"/>
    <n v="419.6"/>
    <n v="7.1"/>
    <n v="1.72E-2"/>
    <n v="17.3"/>
    <n v="23.41"/>
    <n v="63.9"/>
    <n v="64.400000000000006"/>
    <n v="0"/>
    <m/>
    <s v="PASS"/>
    <n v="1"/>
    <s v="ERP-2023-005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74F1BA6-A0F7-4EF9-BB1A-B295D5F2D2EB}" name="PivotTable1" cacheId="8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location ref="A23:C36" firstHeaderRow="1" firstDataRow="2" firstDataCol="1"/>
  <pivotFields count="29">
    <pivotField showAll="0"/>
    <pivotField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axis="axisCol" showAll="0">
      <items count="6">
        <item h="1" x="0"/>
        <item x="4"/>
        <item h="1" x="1"/>
        <item h="1" x="3"/>
        <item h="1" x="2"/>
        <item t="default"/>
      </items>
    </pivotField>
    <pivotField showAll="0">
      <items count="6">
        <item x="4"/>
        <item x="3"/>
        <item x="0"/>
        <item x="2"/>
        <item x="1"/>
        <item t="default"/>
      </items>
    </pivotField>
    <pivotField showAll="0"/>
    <pivotField showAll="0"/>
    <pivotField showAll="0"/>
    <pivotField showAll="0"/>
    <pivotField numFmtId="165" showAll="0"/>
    <pivotField numFmtId="165" showAll="0"/>
    <pivotField numFmtId="165" showAll="0"/>
    <pivotField numFmtId="165" showAll="0"/>
    <pivotField numFmtId="2" showAll="0"/>
    <pivotField numFmtId="10" showAll="0"/>
    <pivotField numFmtId="168" showAll="0"/>
    <pivotField numFmtId="2" showAll="0"/>
    <pivotField numFmtId="168" showAll="0"/>
    <pivotField numFmtId="168" showAll="0"/>
    <pivotField dataField="1" numFmtId="168" showAll="0"/>
    <pivotField showAll="0"/>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s>
  <rowFields count="1">
    <field x="26"/>
  </rowFields>
  <rowItems count="12">
    <i>
      <x v="2"/>
    </i>
    <i>
      <x v="3"/>
    </i>
    <i>
      <x v="4"/>
    </i>
    <i>
      <x v="5"/>
    </i>
    <i>
      <x v="6"/>
    </i>
    <i>
      <x v="7"/>
    </i>
    <i>
      <x v="8"/>
    </i>
    <i>
      <x v="9"/>
    </i>
    <i>
      <x v="10"/>
    </i>
    <i>
      <x v="11"/>
    </i>
    <i>
      <x v="12"/>
    </i>
    <i t="grand">
      <x/>
    </i>
  </rowItems>
  <colFields count="1">
    <field x="2"/>
  </colFields>
  <colItems count="2">
    <i>
      <x v="1"/>
    </i>
    <i t="grand">
      <x/>
    </i>
  </colItems>
  <dataFields count="1">
    <dataField name="Sum of downtime_hrs" fld="18" baseField="0" baseItem="0" numFmtId="168"/>
  </dataFields>
  <chartFormats count="5">
    <chartFormat chart="4" format="0" series="1">
      <pivotArea type="data" outline="0" fieldPosition="0">
        <references count="2">
          <reference field="4294967294" count="1" selected="0">
            <x v="0"/>
          </reference>
          <reference field="2" count="1" selected="0">
            <x v="0"/>
          </reference>
        </references>
      </pivotArea>
    </chartFormat>
    <chartFormat chart="4" format="1" series="1">
      <pivotArea type="data" outline="0" fieldPosition="0">
        <references count="2">
          <reference field="4294967294" count="1" selected="0">
            <x v="0"/>
          </reference>
          <reference field="2" count="1" selected="0">
            <x v="1"/>
          </reference>
        </references>
      </pivotArea>
    </chartFormat>
    <chartFormat chart="4" format="2" series="1">
      <pivotArea type="data" outline="0" fieldPosition="0">
        <references count="2">
          <reference field="4294967294" count="1" selected="0">
            <x v="0"/>
          </reference>
          <reference field="2" count="1" selected="0">
            <x v="2"/>
          </reference>
        </references>
      </pivotArea>
    </chartFormat>
    <chartFormat chart="4" format="3" series="1">
      <pivotArea type="data" outline="0" fieldPosition="0">
        <references count="2">
          <reference field="4294967294" count="1" selected="0">
            <x v="0"/>
          </reference>
          <reference field="2" count="1" selected="0">
            <x v="3"/>
          </reference>
        </references>
      </pivotArea>
    </chartFormat>
    <chartFormat chart="4" format="4" series="1">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867D3D-BA13-4A13-B76D-2DF763266903}" name="PivotTable6"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5:B51" firstHeaderRow="1" firstDataRow="1" firstDataCol="1"/>
  <pivotFields count="29">
    <pivotField showAll="0"/>
    <pivotField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showAll="0">
      <items count="6">
        <item h="1" x="0"/>
        <item x="4"/>
        <item h="1" x="1"/>
        <item h="1" x="3"/>
        <item h="1" x="2"/>
        <item t="default"/>
      </items>
    </pivotField>
    <pivotField axis="axisRow" showAll="0">
      <items count="6">
        <item x="4"/>
        <item x="3"/>
        <item x="0"/>
        <item x="2"/>
        <item x="1"/>
        <item t="default"/>
      </items>
    </pivotField>
    <pivotField showAll="0"/>
    <pivotField showAll="0"/>
    <pivotField showAll="0"/>
    <pivotField showAll="0"/>
    <pivotField numFmtId="165" showAll="0"/>
    <pivotField numFmtId="165" showAll="0"/>
    <pivotField numFmtId="165" showAll="0"/>
    <pivotField numFmtId="165" showAll="0"/>
    <pivotField numFmtId="2" showAll="0"/>
    <pivotField numFmtId="10" showAll="0"/>
    <pivotField numFmtId="168" showAll="0"/>
    <pivotField numFmtId="2" showAll="0"/>
    <pivotField numFmtId="168" showAll="0"/>
    <pivotField numFmtId="168" showAll="0"/>
    <pivotField numFmtId="168" showAll="0"/>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s>
  <rowFields count="1">
    <field x="3"/>
  </rowFields>
  <rowItems count="6">
    <i>
      <x/>
    </i>
    <i>
      <x v="1"/>
    </i>
    <i>
      <x v="2"/>
    </i>
    <i>
      <x v="3"/>
    </i>
    <i>
      <x v="4"/>
    </i>
    <i t="grand">
      <x/>
    </i>
  </rowItems>
  <colItems count="1">
    <i/>
  </colItems>
  <dataFields count="1">
    <dataField name="QC_Final Pass %" fld="20" subtotal="average" baseField="0" baseItem="0" numFmtId="1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C50BEF-31AD-4FFB-9EE6-CAA47010C975}" name="PivotTable4"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C16" firstHeaderRow="0" firstDataRow="1" firstDataCol="1"/>
  <pivotFields count="29">
    <pivotField showAll="0"/>
    <pivotField numFmtId="16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showAll="0">
      <items count="6">
        <item h="1" x="0"/>
        <item x="4"/>
        <item h="1" x="1"/>
        <item h="1" x="3"/>
        <item h="1" x="2"/>
        <item t="default"/>
      </items>
    </pivotField>
    <pivotField showAll="0">
      <items count="6">
        <item x="4"/>
        <item x="3"/>
        <item x="0"/>
        <item x="2"/>
        <item x="1"/>
        <item t="default"/>
      </items>
    </pivotField>
    <pivotField showAll="0"/>
    <pivotField showAll="0"/>
    <pivotField showAll="0"/>
    <pivotField showAll="0"/>
    <pivotField numFmtId="165" showAll="0"/>
    <pivotField numFmtId="165" showAll="0"/>
    <pivotField dataField="1" numFmtId="165" showAll="0"/>
    <pivotField dataField="1" numFmtId="165" showAll="0"/>
    <pivotField numFmtId="166" showAll="0"/>
    <pivotField numFmtId="167" showAll="0"/>
    <pivotField numFmtId="168" showAll="0"/>
    <pivotField numFmtId="2" showAll="0"/>
    <pivotField numFmtId="168" showAll="0"/>
    <pivotField numFmtId="168" showAll="0"/>
    <pivotField numFmtId="168" showAll="0"/>
    <pivotField showAll="0"/>
    <pivotField showAll="0"/>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s>
  <rowFields count="1">
    <field x="26"/>
  </rowFields>
  <rowItems count="12">
    <i>
      <x v="2"/>
    </i>
    <i>
      <x v="3"/>
    </i>
    <i>
      <x v="4"/>
    </i>
    <i>
      <x v="5"/>
    </i>
    <i>
      <x v="6"/>
    </i>
    <i>
      <x v="7"/>
    </i>
    <i>
      <x v="8"/>
    </i>
    <i>
      <x v="9"/>
    </i>
    <i>
      <x v="10"/>
    </i>
    <i>
      <x v="11"/>
    </i>
    <i>
      <x v="12"/>
    </i>
    <i t="grand">
      <x/>
    </i>
  </rowItems>
  <colFields count="1">
    <field x="-2"/>
  </colFields>
  <colItems count="2">
    <i>
      <x/>
    </i>
    <i i="1">
      <x v="1"/>
    </i>
  </colItems>
  <dataFields count="2">
    <dataField name="Scheduled_output_Litres" fld="10" baseField="0" baseItem="0" numFmtId="165"/>
    <dataField name="Actual_output_Litres" fld="11" baseField="0" baseItem="0" numFmtId="165"/>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B89D2B-5FE4-488F-95C9-8E8E45A27F20}" name="PivotTable3" cacheId="8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73:B80" firstHeaderRow="1" firstDataRow="1" firstDataCol="1"/>
  <pivotFields count="29">
    <pivotField showAll="0"/>
    <pivotField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axis="axisRow" multipleItemSelectionAllowed="1" showAll="0">
      <items count="6">
        <item h="1" x="0"/>
        <item x="4"/>
        <item h="1" x="1"/>
        <item h="1" x="3"/>
        <item h="1" x="2"/>
        <item t="default"/>
      </items>
    </pivotField>
    <pivotField axis="axisRow" showAll="0">
      <items count="6">
        <item x="4"/>
        <item x="3"/>
        <item x="0"/>
        <item x="2"/>
        <item x="1"/>
        <item t="default"/>
      </items>
    </pivotField>
    <pivotField showAll="0"/>
    <pivotField showAll="0"/>
    <pivotField showAll="0"/>
    <pivotField showAll="0"/>
    <pivotField numFmtId="165" showAll="0"/>
    <pivotField numFmtId="165" showAll="0"/>
    <pivotField numFmtId="165" showAll="0"/>
    <pivotField numFmtId="165" showAll="0"/>
    <pivotField numFmtId="2" showAll="0"/>
    <pivotField numFmtId="10" showAll="0"/>
    <pivotField numFmtId="168" showAll="0"/>
    <pivotField numFmtId="2" showAll="0"/>
    <pivotField numFmtId="168" showAll="0"/>
    <pivotField numFmtId="168" showAll="0"/>
    <pivotField numFmtId="168"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s>
  <rowFields count="2">
    <field x="2"/>
    <field x="3"/>
  </rowFields>
  <rowItems count="7">
    <i>
      <x v="1"/>
    </i>
    <i r="1">
      <x/>
    </i>
    <i r="1">
      <x v="1"/>
    </i>
    <i r="1">
      <x v="2"/>
    </i>
    <i r="1">
      <x v="3"/>
    </i>
    <i r="1">
      <x v="4"/>
    </i>
    <i t="grand">
      <x/>
    </i>
  </rowItems>
  <colItems count="1">
    <i/>
  </colItems>
  <dataFields count="1">
    <dataField name="Average of Energy Efficiency" fld="28" subtotal="average" baseField="3" baseItem="0" numFmtId="2"/>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BFDC3F5-EADB-4E7A-AA8D-00BD46BAA92E}" name="PivotTable2" cacheId="8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4">
  <location ref="A59:C66" firstHeaderRow="1" firstDataRow="2" firstDataCol="1"/>
  <pivotFields count="29">
    <pivotField showAll="0"/>
    <pivotField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axis="axisCol" showAll="0">
      <items count="6">
        <item h="1" x="0"/>
        <item x="4"/>
        <item h="1" x="1"/>
        <item h="1" x="3"/>
        <item h="1" x="2"/>
        <item t="default"/>
      </items>
    </pivotField>
    <pivotField showAll="0">
      <items count="6">
        <item x="4"/>
        <item x="3"/>
        <item x="0"/>
        <item x="2"/>
        <item x="1"/>
        <item t="default"/>
      </items>
    </pivotField>
    <pivotField showAll="0"/>
    <pivotField showAll="0"/>
    <pivotField showAll="0"/>
    <pivotField showAll="0"/>
    <pivotField numFmtId="165" showAll="0"/>
    <pivotField numFmtId="165" showAll="0"/>
    <pivotField numFmtId="165" showAll="0"/>
    <pivotField numFmtId="165" showAll="0"/>
    <pivotField numFmtId="2" showAll="0"/>
    <pivotField numFmtId="10" showAll="0"/>
    <pivotField numFmtId="168" showAll="0"/>
    <pivotField numFmtId="2" showAll="0"/>
    <pivotField numFmtId="168" showAll="0"/>
    <pivotField numFmtId="168" showAll="0"/>
    <pivotField dataField="1" numFmtId="168" showAll="0"/>
    <pivotField axis="axisRow" showAll="0">
      <items count="8">
        <item x="1"/>
        <item x="6"/>
        <item x="4"/>
        <item x="5"/>
        <item x="3"/>
        <item x="2"/>
        <item h="1" x="0"/>
        <item t="default"/>
      </items>
    </pivotField>
    <pivotField showAll="0"/>
    <pivotField showAll="0"/>
    <pivotField showAll="0"/>
    <pivotField showAll="0"/>
    <pivotField showAll="0"/>
    <pivotField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showAll="0" defaultSubtotal="0">
      <items count="14">
        <item sd="0" x="0"/>
        <item sd="0" x="1"/>
        <item sd="0" x="2"/>
        <item sd="0" x="3"/>
        <item sd="0" x="4"/>
        <item sd="0" x="5"/>
        <item sd="0" x="6"/>
        <item sd="0" x="7"/>
        <item sd="0" x="8"/>
        <item sd="0" x="9"/>
        <item sd="0" x="10"/>
        <item sd="0" x="11"/>
        <item sd="0" x="12"/>
        <item sd="0" x="13"/>
      </items>
    </pivotField>
    <pivotField dragToRow="0" dragToCol="0" dragToPage="0" showAll="0" defaultSubtotal="0"/>
    <pivotField dragToRow="0" dragToCol="0" dragToPage="0" showAll="0" defaultSubtotal="0"/>
  </pivotFields>
  <rowFields count="1">
    <field x="19"/>
  </rowFields>
  <rowItems count="6">
    <i>
      <x/>
    </i>
    <i>
      <x v="1"/>
    </i>
    <i>
      <x v="2"/>
    </i>
    <i>
      <x v="3"/>
    </i>
    <i>
      <x v="5"/>
    </i>
    <i t="grand">
      <x/>
    </i>
  </rowItems>
  <colFields count="1">
    <field x="2"/>
  </colFields>
  <colItems count="2">
    <i>
      <x v="1"/>
    </i>
    <i t="grand">
      <x/>
    </i>
  </colItems>
  <dataFields count="1">
    <dataField name="Count of downtime_hrs2" fld="18" subtotal="count" baseField="24" baseItem="1"/>
  </dataFields>
  <chartFormats count="18">
    <chartFormat chart="8" format="0" series="1">
      <pivotArea type="data" outline="0" fieldPosition="0">
        <references count="2">
          <reference field="4294967294" count="1" selected="0">
            <x v="0"/>
          </reference>
          <reference field="2" count="1" selected="0">
            <x v="0"/>
          </reference>
        </references>
      </pivotArea>
    </chartFormat>
    <chartFormat chart="8" format="1" series="1">
      <pivotArea type="data" outline="0" fieldPosition="0">
        <references count="2">
          <reference field="4294967294" count="1" selected="0">
            <x v="0"/>
          </reference>
          <reference field="2" count="1" selected="0">
            <x v="1"/>
          </reference>
        </references>
      </pivotArea>
    </chartFormat>
    <chartFormat chart="8" format="2" series="1">
      <pivotArea type="data" outline="0" fieldPosition="0">
        <references count="2">
          <reference field="4294967294" count="1" selected="0">
            <x v="0"/>
          </reference>
          <reference field="2" count="1" selected="0">
            <x v="2"/>
          </reference>
        </references>
      </pivotArea>
    </chartFormat>
    <chartFormat chart="8" format="3" series="1">
      <pivotArea type="data" outline="0" fieldPosition="0">
        <references count="2">
          <reference field="4294967294" count="1" selected="0">
            <x v="0"/>
          </reference>
          <reference field="2" count="1" selected="0">
            <x v="3"/>
          </reference>
        </references>
      </pivotArea>
    </chartFormat>
    <chartFormat chart="8" format="4" series="1">
      <pivotArea type="data" outline="0" fieldPosition="0">
        <references count="2">
          <reference field="4294967294" count="1" selected="0">
            <x v="0"/>
          </reference>
          <reference field="2" count="1" selected="0">
            <x v="4"/>
          </reference>
        </references>
      </pivotArea>
    </chartFormat>
    <chartFormat chart="10" format="0" series="1">
      <pivotArea type="data" outline="0" fieldPosition="0">
        <references count="2">
          <reference field="4294967294" count="1" selected="0">
            <x v="0"/>
          </reference>
          <reference field="2" count="1" selected="0">
            <x v="0"/>
          </reference>
        </references>
      </pivotArea>
    </chartFormat>
    <chartFormat chart="10" format="1" series="1">
      <pivotArea type="data" outline="0" fieldPosition="0">
        <references count="2">
          <reference field="4294967294" count="1" selected="0">
            <x v="0"/>
          </reference>
          <reference field="2" count="1" selected="0">
            <x v="1"/>
          </reference>
        </references>
      </pivotArea>
    </chartFormat>
    <chartFormat chart="10" format="2" series="1">
      <pivotArea type="data" outline="0" fieldPosition="0">
        <references count="2">
          <reference field="4294967294" count="1" selected="0">
            <x v="0"/>
          </reference>
          <reference field="2" count="1" selected="0">
            <x v="2"/>
          </reference>
        </references>
      </pivotArea>
    </chartFormat>
    <chartFormat chart="10" format="3" series="1">
      <pivotArea type="data" outline="0" fieldPosition="0">
        <references count="2">
          <reference field="4294967294" count="1" selected="0">
            <x v="0"/>
          </reference>
          <reference field="2" count="1" selected="0">
            <x v="3"/>
          </reference>
        </references>
      </pivotArea>
    </chartFormat>
    <chartFormat chart="10" format="4" series="1">
      <pivotArea type="data" outline="0" fieldPosition="0">
        <references count="2">
          <reference field="4294967294" count="1" selected="0">
            <x v="0"/>
          </reference>
          <reference field="2" count="1" selected="0">
            <x v="4"/>
          </reference>
        </references>
      </pivotArea>
    </chartFormat>
    <chartFormat chart="10" format="5">
      <pivotArea type="data" outline="0" fieldPosition="0">
        <references count="3">
          <reference field="4294967294" count="1" selected="0">
            <x v="0"/>
          </reference>
          <reference field="2" count="1" selected="0">
            <x v="0"/>
          </reference>
          <reference field="19" count="1" selected="0">
            <x v="0"/>
          </reference>
        </references>
      </pivotArea>
    </chartFormat>
    <chartFormat chart="10" format="6">
      <pivotArea type="data" outline="0" fieldPosition="0">
        <references count="3">
          <reference field="4294967294" count="1" selected="0">
            <x v="0"/>
          </reference>
          <reference field="2" count="1" selected="0">
            <x v="0"/>
          </reference>
          <reference field="19" count="1" selected="0">
            <x v="2"/>
          </reference>
        </references>
      </pivotArea>
    </chartFormat>
    <chartFormat chart="10" format="7">
      <pivotArea type="data" outline="0" fieldPosition="0">
        <references count="3">
          <reference field="4294967294" count="1" selected="0">
            <x v="0"/>
          </reference>
          <reference field="2" count="1" selected="0">
            <x v="0"/>
          </reference>
          <reference field="19" count="1" selected="0">
            <x v="3"/>
          </reference>
        </references>
      </pivotArea>
    </chartFormat>
    <chartFormat chart="10" format="8">
      <pivotArea type="data" outline="0" fieldPosition="0">
        <references count="3">
          <reference field="4294967294" count="1" selected="0">
            <x v="0"/>
          </reference>
          <reference field="2" count="1" selected="0">
            <x v="0"/>
          </reference>
          <reference field="19" count="1" selected="0">
            <x v="4"/>
          </reference>
        </references>
      </pivotArea>
    </chartFormat>
    <chartFormat chart="10" format="9">
      <pivotArea type="data" outline="0" fieldPosition="0">
        <references count="3">
          <reference field="4294967294" count="1" selected="0">
            <x v="0"/>
          </reference>
          <reference field="2" count="1" selected="0">
            <x v="4"/>
          </reference>
          <reference field="19" count="1" selected="0">
            <x v="0"/>
          </reference>
        </references>
      </pivotArea>
    </chartFormat>
    <chartFormat chart="10" format="10">
      <pivotArea type="data" outline="0" fieldPosition="0">
        <references count="3">
          <reference field="4294967294" count="1" selected="0">
            <x v="0"/>
          </reference>
          <reference field="2" count="1" selected="0">
            <x v="4"/>
          </reference>
          <reference field="19" count="1" selected="0">
            <x v="1"/>
          </reference>
        </references>
      </pivotArea>
    </chartFormat>
    <chartFormat chart="10" format="11">
      <pivotArea type="data" outline="0" fieldPosition="0">
        <references count="3">
          <reference field="4294967294" count="1" selected="0">
            <x v="0"/>
          </reference>
          <reference field="2" count="1" selected="0">
            <x v="4"/>
          </reference>
          <reference field="19" count="1" selected="0">
            <x v="2"/>
          </reference>
        </references>
      </pivotArea>
    </chartFormat>
    <chartFormat chart="10" format="12">
      <pivotArea type="data" outline="0" fieldPosition="0">
        <references count="3">
          <reference field="4294967294" count="1" selected="0">
            <x v="0"/>
          </reference>
          <reference field="2" count="1" selected="0">
            <x v="4"/>
          </reference>
          <reference field="1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FAF484-F21E-4596-B2F6-8E84D554E985}" name="PivotTable7" cacheId="10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28:B33" firstHeaderRow="1" firstDataRow="1" firstDataCol="1"/>
  <pivotFields count="28">
    <pivotField showAll="0"/>
    <pivotField showAll="0"/>
    <pivotField showAll="0"/>
    <pivotField showAll="0"/>
    <pivotField showAll="0"/>
    <pivotField showAll="0">
      <items count="6">
        <item x="4"/>
        <item x="3"/>
        <item x="0"/>
        <item x="2"/>
        <item x="1"/>
        <item t="default"/>
      </items>
    </pivotField>
    <pivotField showAll="0"/>
    <pivotField showAll="0"/>
    <pivotField axis="axisRow"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8"/>
  </rowFields>
  <rowItems count="5">
    <i>
      <x/>
    </i>
    <i>
      <x v="1"/>
    </i>
    <i>
      <x v="2"/>
    </i>
    <i>
      <x v="3"/>
    </i>
    <i>
      <x v="4"/>
    </i>
  </rowItems>
  <colItems count="1">
    <i/>
  </colItems>
  <dataFields count="1">
    <dataField name="Energy Efficiency " fld="27" baseField="0" baseItem="0" numFmtId="2"/>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879A3AB-7132-4B0D-ADAB-945338088D56}" name="PivotTable5" cacheId="8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A20:B26" firstHeaderRow="1" firstDataRow="1" firstDataCol="1"/>
  <pivotFields count="29">
    <pivotField showAll="0"/>
    <pivotField numFmtId="14" showAll="0">
      <items count="15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t="default"/>
      </items>
    </pivotField>
    <pivotField multipleItemSelectionAllowed="1" showAll="0">
      <items count="6">
        <item h="1" x="0"/>
        <item x="4"/>
        <item h="1" x="1"/>
        <item h="1" x="3"/>
        <item h="1" x="2"/>
        <item t="default"/>
      </items>
    </pivotField>
    <pivotField showAll="0">
      <items count="6">
        <item x="4"/>
        <item x="3"/>
        <item x="0"/>
        <item x="2"/>
        <item x="1"/>
        <item t="default"/>
      </items>
    </pivotField>
    <pivotField showAll="0"/>
    <pivotField showAll="0"/>
    <pivotField axis="axisRow" showAll="0">
      <items count="6">
        <item x="2"/>
        <item x="0"/>
        <item x="4"/>
        <item x="1"/>
        <item x="3"/>
        <item t="default"/>
      </items>
    </pivotField>
    <pivotField showAll="0"/>
    <pivotField numFmtId="165" showAll="0"/>
    <pivotField numFmtId="165" showAll="0"/>
    <pivotField numFmtId="165" showAll="0"/>
    <pivotField numFmtId="165" showAll="0"/>
    <pivotField numFmtId="2" showAll="0"/>
    <pivotField numFmtId="10" showAll="0"/>
    <pivotField numFmtId="168" showAll="0"/>
    <pivotField numFmtId="2" showAll="0"/>
    <pivotField numFmtId="168" showAll="0"/>
    <pivotField numFmtId="168" showAll="0"/>
    <pivotField numFmtId="168" showAll="0"/>
    <pivotField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ataField="1" dragToRow="0" dragToCol="0" dragToPage="0" showAll="0" defaultSubtotal="0"/>
  </pivotFields>
  <rowFields count="1">
    <field x="6"/>
  </rowFields>
  <rowItems count="6">
    <i>
      <x/>
    </i>
    <i>
      <x v="1"/>
    </i>
    <i>
      <x v="2"/>
    </i>
    <i>
      <x v="3"/>
    </i>
    <i>
      <x v="4"/>
    </i>
    <i t="grand">
      <x/>
    </i>
  </rowItems>
  <colItems count="1">
    <i/>
  </colItems>
  <dataFields count="1">
    <dataField name="Average of Energy Efficiency" fld="28" subtotal="average" baseField="3" baseItem="0" numFmtId="2"/>
  </dataFields>
  <chartFormats count="2">
    <chartFormat chart="5"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D78A77-859B-4036-9112-B57489A09288}" name="PivotTable3" cacheId="10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13:B18" firstHeaderRow="1" firstDataRow="1" firstDataCol="1"/>
  <pivotFields count="28">
    <pivotField showAll="0"/>
    <pivotField showAll="0"/>
    <pivotField showAll="0"/>
    <pivotField showAll="0"/>
    <pivotField showAll="0"/>
    <pivotField showAll="0">
      <items count="6">
        <item x="4"/>
        <item x="3"/>
        <item x="0"/>
        <item x="2"/>
        <item x="1"/>
        <item t="default"/>
      </items>
    </pivotField>
    <pivotField showAll="0"/>
    <pivotField showAll="0"/>
    <pivotField axis="axisRow"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dragToRow="0" dragToCol="0" dragToPage="0" showAll="0" defaultSubtotal="0"/>
    <pivotField dragToRow="0" dragToCol="0" dragToPage="0" showAll="0" defaultSubtotal="0"/>
  </pivotFields>
  <rowFields count="1">
    <field x="8"/>
  </rowFields>
  <rowItems count="5">
    <i>
      <x/>
    </i>
    <i>
      <x v="1"/>
    </i>
    <i>
      <x v="2"/>
    </i>
    <i>
      <x v="3"/>
    </i>
    <i>
      <x v="4"/>
    </i>
  </rowItems>
  <colItems count="1">
    <i/>
  </colItems>
  <dataFields count="1">
    <dataField name="QC Pass %" fld="23" subtotal="average" baseField="0" baseItem="0" numFmtId="10"/>
  </dataFields>
  <chartFormats count="1">
    <chartFormat chart="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23BDC5-18A8-49E9-BC24-B19CBA17C5BD}" name="PivotTable2" cacheId="10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5:B40" firstHeaderRow="1" firstDataRow="1" firstDataCol="1"/>
  <pivotFields count="28">
    <pivotField showAll="0"/>
    <pivotField showAll="0"/>
    <pivotField showAll="0"/>
    <pivotField showAll="0"/>
    <pivotField showAll="0"/>
    <pivotField showAll="0">
      <items count="6">
        <item x="4"/>
        <item x="3"/>
        <item x="0"/>
        <item x="2"/>
        <item x="1"/>
        <item t="default"/>
      </items>
    </pivotField>
    <pivotField showAll="0"/>
    <pivotField showAll="0"/>
    <pivotField axis="axisRow" showAll="0">
      <items count="6">
        <item x="1"/>
        <item x="0"/>
        <item x="4"/>
        <item x="2"/>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8"/>
  </rowFields>
  <rowItems count="5">
    <i>
      <x/>
    </i>
    <i>
      <x v="1"/>
    </i>
    <i>
      <x v="2"/>
    </i>
    <i>
      <x v="3"/>
    </i>
    <i>
      <x v="4"/>
    </i>
  </rowItems>
  <colItems count="1">
    <i/>
  </colItems>
  <dataFields count="1">
    <dataField name="Sum of actual_output_L" fld="13" baseField="0" baseItem="0"/>
  </dataFields>
  <chartFormats count="1">
    <chartFormat chart="5"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09336D8-7559-4859-BA9E-1427C5950B6E}" name="PivotTable1" cacheId="1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8">
    <pivotField showAll="0"/>
    <pivotField showAll="0"/>
    <pivotField showAll="0"/>
    <pivotField showAll="0"/>
    <pivotField showAll="0"/>
    <pivotField showAll="0">
      <items count="6">
        <item x="4"/>
        <item x="3"/>
        <item x="0"/>
        <item x="2"/>
        <item x="1"/>
        <item t="default"/>
      </items>
    </pivotField>
    <pivotField showAll="0"/>
    <pivotField showAll="0"/>
    <pivotField axis="axisRow" showAll="0">
      <items count="6">
        <item x="1"/>
        <item x="0"/>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1">
    <field x="8"/>
  </rowFields>
  <rowItems count="6">
    <i>
      <x/>
    </i>
    <i>
      <x v="1"/>
    </i>
    <i>
      <x v="2"/>
    </i>
    <i>
      <x v="3"/>
    </i>
    <i>
      <x v="4"/>
    </i>
    <i t="grand">
      <x/>
    </i>
  </rowItems>
  <colItems count="1">
    <i/>
  </colItems>
  <dataFields count="1">
    <dataField name="Downtime % " fld="26" baseField="0" baseItem="0" numFmtId="10"/>
  </dataField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9232D3B-7982-416C-BA5D-16636EE3D3DF}" autoFormatId="16" applyNumberFormats="0" applyBorderFormats="0" applyFontFormats="0" applyPatternFormats="0" applyAlignmentFormats="0" applyWidthHeightFormats="0">
  <queryTableRefresh nextId="37">
    <queryTableFields count="26">
      <queryTableField id="1" name="batch_id" tableColumnId="1"/>
      <queryTableField id="2" name="batch_date" tableColumnId="2"/>
      <queryTableField id="3" name="site_id" tableColumnId="3"/>
      <queryTableField id="23" name="Sites6.site_name" tableColumnId="23"/>
      <queryTableField id="24" name="Sites6.region" tableColumnId="24"/>
      <queryTableField id="4" name="spirit_type" tableColumnId="4"/>
      <queryTableField id="5" name="unit_operation" tableColumnId="5"/>
      <queryTableField id="6" name="operator_id" tableColumnId="6"/>
      <queryTableField id="28" name="Operators7.operator_name" tableColumnId="27"/>
      <queryTableField id="7" name="shift" tableColumnId="7"/>
      <queryTableField id="8" name="grain_input_kg" tableColumnId="8"/>
      <queryTableField id="9" name="water_input_L" tableColumnId="9"/>
      <queryTableField id="10" name="scheduled_output_L" tableColumnId="10"/>
      <queryTableField id="11" name="actual_output_L" tableColumnId="11"/>
      <queryTableField id="12" name="variance_L" tableColumnId="12"/>
      <queryTableField id="13" name="variance_pct" tableColumnId="13"/>
      <queryTableField id="14" name="still_run_hrs" tableColumnId="14"/>
      <queryTableField id="15" name="energy_consumed_GJ" tableColumnId="15"/>
      <queryTableField id="16" name="abv_target_pct" tableColumnId="16"/>
      <queryTableField id="17" name="abv_actual_pct" tableColumnId="17"/>
      <queryTableField id="18" name="downtime_hrs" tableColumnId="18"/>
      <queryTableField id="19" name="downtime_reason" tableColumnId="19"/>
      <queryTableField id="20" name="qc_status" tableColumnId="20"/>
      <queryTableField id="34" dataBound="0" tableColumnId="25"/>
      <queryTableField id="21" name="erp_batch_ref" tableColumnId="21"/>
      <queryTableField id="22" name="notes"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_id" xr10:uid="{3593CA66-2502-4597-8A8E-0848A0C8BA39}" sourceName="site_id">
  <pivotTables>
    <pivotTable tabId="9" name="PivotTable4"/>
    <pivotTable tabId="9" name="PivotTable6"/>
    <pivotTable tabId="9" name="PivotTable1"/>
    <pivotTable tabId="9" name="PivotTable2"/>
    <pivotTable tabId="9" name="PivotTable3"/>
    <pivotTable tabId="16" name="PivotTable5"/>
  </pivotTables>
  <data>
    <tabular pivotCacheId="473270754">
      <items count="5">
        <i x="0"/>
        <i x="4" s="1"/>
        <i x="1"/>
        <i x="3"/>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irit_type" xr10:uid="{62DDCFC7-7839-4466-9775-049D2EF13619}" sourceName="spirit_type">
  <pivotTables>
    <pivotTable tabId="16" name="PivotTable5"/>
  </pivotTables>
  <data>
    <tabular pivotCacheId="473270754">
      <items count="5">
        <i x="4" s="1"/>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irit_type1" xr10:uid="{4AB8F0EA-047E-44E7-94ED-86AE93D45C5B}" sourceName="spirit_type">
  <pivotTables>
    <pivotTable tabId="16" name="PivotTable1"/>
    <pivotTable tabId="16" name="PivotTable2"/>
    <pivotTable tabId="16" name="PivotTable3"/>
    <pivotTable tabId="16" name="PivotTable7"/>
  </pivotTables>
  <data>
    <tabular pivotCacheId="1045070435">
      <items count="5">
        <i x="4" s="1"/>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te_id" xr10:uid="{B99E1832-6FF6-45F7-971D-DB915BBF72CC}" cache="Slicer_site_id" caption="site_id" rowHeight="241300"/>
  <slicer name="site_id 1" xr10:uid="{A8D6EE9F-30FE-4A43-98C4-68245588EB21}" cache="Slicer_site_id" caption="site_id" rowHeight="241300"/>
  <slicer name="spirit_type" xr10:uid="{19D80640-3E95-4634-9EC0-947CEF39C0F8}" cache="Slicer_spirit_type" caption="spirit_type" rowHeight="241300"/>
  <slicer name="spirit_type 1" xr10:uid="{04145A85-5248-41D6-BF3A-018962CF8B7C}" cache="Slicer_spirit_type" caption="spirit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irit_type 2" xr10:uid="{1F95D26A-7E57-43AA-86B6-158CC6C5DDA7}" cache="Slicer_spirit_type1" caption="spirit_type" rowHeight="4608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F1DDB17-3357-4073-A505-00F9FC181D00}" name="Table2" displayName="Table2" ref="A1:Y201" totalsRowShown="0" headerRowDxfId="26">
  <autoFilter ref="A1:Y201" xr:uid="{00000000-0009-0000-0000-000000000000}"/>
  <tableColumns count="25">
    <tableColumn id="1" xr3:uid="{1A4576E8-99DD-48FB-8A73-29FFAA1A557E}" name="batch_id" dataDxfId="25"/>
    <tableColumn id="2" xr3:uid="{E88FB43F-9AFD-4916-9831-E8AA7656625D}" name="batch_date" dataDxfId="24"/>
    <tableColumn id="3" xr3:uid="{754DA15E-6D5B-4611-AAEB-B77E75A705F3}" name="site_id" dataDxfId="23"/>
    <tableColumn id="4" xr3:uid="{4B775B8D-F2AA-4857-8A97-557A3FD44E54}" name="spirit_type" dataDxfId="22"/>
    <tableColumn id="5" xr3:uid="{688C3AAF-EE66-4322-805E-0E11F62582CA}" name="unit_operation" dataDxfId="21"/>
    <tableColumn id="6" xr3:uid="{E8E4EB7C-DDBE-42B3-8AF1-4FE951E89D26}" name="operator_id" dataDxfId="20"/>
    <tableColumn id="25" xr3:uid="{1EC1E3D1-CD34-4A20-97F9-02C2349BFB96}" name="Operator_Name" dataDxfId="19">
      <calculatedColumnFormula>_xlfn.XLOOKUP(Table2[[#This Row],[operator_id]],Operators[operator_id],Operators[operator_name])</calculatedColumnFormula>
    </tableColumn>
    <tableColumn id="7" xr3:uid="{A1729C92-4A8A-4672-BF11-F1940D4DEA1E}" name="shift" dataDxfId="18"/>
    <tableColumn id="8" xr3:uid="{32636882-F03F-4B81-A125-2C44B93B31EB}" name="grain_input_kg" dataDxfId="17"/>
    <tableColumn id="9" xr3:uid="{6A5994F3-FFD1-430D-B7F2-549B22ED09C8}" name="water_input_L" dataDxfId="16"/>
    <tableColumn id="10" xr3:uid="{C689E147-A578-46EF-A5B9-955C930F5EC9}" name="scheduled_output_L" dataDxfId="15"/>
    <tableColumn id="11" xr3:uid="{03861DDE-571C-4609-8A5D-8CF30A443E7D}" name="actual_output_L" dataDxfId="14"/>
    <tableColumn id="12" xr3:uid="{EF37A5F2-BC0A-44B5-897B-CEC8405C2732}" name="variance_L"/>
    <tableColumn id="13" xr3:uid="{7373BB28-A9B9-4266-A17C-7ED9F954502B}" name="variance_pct"/>
    <tableColumn id="14" xr3:uid="{99232B2C-B5A1-4766-A41F-755095D38DE0}" name="still_run_hrs" dataDxfId="13"/>
    <tableColumn id="15" xr3:uid="{35802DD9-1B3B-4065-BFC7-D09455152B4A}" name="energy_consumed_GJ" dataDxfId="12"/>
    <tableColumn id="16" xr3:uid="{43AE08C1-DC86-41BB-8AD5-0FA720052CEA}" name="abv_target_pct" dataDxfId="11"/>
    <tableColumn id="17" xr3:uid="{F2B4B551-5404-47B6-B35D-01B96AAAFCE2}" name="abv_actual_pct" dataDxfId="10"/>
    <tableColumn id="18" xr3:uid="{957ABAB6-CA30-4734-804D-7D3EC2E3C0C8}" name="downtime_hrs" dataDxfId="9"/>
    <tableColumn id="19" xr3:uid="{E596D2BF-6A6D-4E44-895F-2F7AFA4DE9F5}" name="downtime_reason" dataDxfId="8"/>
    <tableColumn id="20" xr3:uid="{78ADE030-CDAA-4756-9315-D0963F596E52}" name="QC_Final" dataDxfId="7">
      <calculatedColumnFormula>IF(V2="Pass",1,0)</calculatedColumnFormula>
    </tableColumn>
    <tableColumn id="21" xr3:uid="{D8035C3E-9615-4273-BA31-27999748313E}" name="qc_status" dataDxfId="6"/>
    <tableColumn id="22" xr3:uid="{396E5123-95EC-46CB-9FEC-DC2EC69D943E}" name="QC %"/>
    <tableColumn id="23" xr3:uid="{5DBC02E7-0C43-4F73-B3BC-B202A0135AE7}" name="erp_batch_ref" dataDxfId="5"/>
    <tableColumn id="24" xr3:uid="{799645E5-EBD9-4CA6-B75B-224233ED75BD}" name="notes" dataDxfId="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D9A908-57A8-4A71-B623-2EA5EBEDC2AD}" name="Merge1" displayName="Merge1" ref="A1:Z241" tableType="queryTable" totalsRowShown="0">
  <autoFilter ref="A1:Z241" xr:uid="{D9D9A908-57A8-4A71-B623-2EA5EBEDC2AD}">
    <filterColumn colId="9">
      <filters>
        <filter val="Day"/>
      </filters>
    </filterColumn>
  </autoFilter>
  <tableColumns count="26">
    <tableColumn id="1" xr3:uid="{3E50FF91-73AF-49B8-A33E-BEE5AED1313D}" uniqueName="1" name="batch_id" queryTableFieldId="1" dataDxfId="39"/>
    <tableColumn id="2" xr3:uid="{0E320F07-CEAF-466F-94F3-7394E8275223}" uniqueName="2" name="batch_date" queryTableFieldId="2"/>
    <tableColumn id="3" xr3:uid="{1DA47C94-F1A1-4506-AB92-6B81999AA864}" uniqueName="3" name="site_id" queryTableFieldId="3" dataDxfId="38"/>
    <tableColumn id="23" xr3:uid="{EBF739AE-F97B-44C5-AB75-3CC0E9755504}" uniqueName="23" name="Sites6.site_name" queryTableFieldId="23" dataDxfId="37"/>
    <tableColumn id="24" xr3:uid="{154B183D-283E-4C20-BF6E-A1395A41A613}" uniqueName="24" name="Sites6.region" queryTableFieldId="24" dataDxfId="36"/>
    <tableColumn id="4" xr3:uid="{D20D72F6-A60F-4F95-B9FF-035D2BCB0F8F}" uniqueName="4" name="spirit_type" queryTableFieldId="4" dataDxfId="35"/>
    <tableColumn id="5" xr3:uid="{3F2C923F-ACF3-4B13-8DEE-53A4DF4FF680}" uniqueName="5" name="unit_operation" queryTableFieldId="5" dataDxfId="34"/>
    <tableColumn id="6" xr3:uid="{D640D185-7A52-4860-AF94-9E6003E7C925}" uniqueName="6" name="operator_id" queryTableFieldId="6" dataDxfId="33"/>
    <tableColumn id="27" xr3:uid="{C655506F-4A83-4272-AFD5-4DC8FA31E104}" uniqueName="27" name="Operators.operator_name" queryTableFieldId="28" dataDxfId="32"/>
    <tableColumn id="7" xr3:uid="{88F396F5-7F9B-4757-82AD-1586D4FCC81C}" uniqueName="7" name="shift" queryTableFieldId="7" dataDxfId="31"/>
    <tableColumn id="8" xr3:uid="{01B06A8A-B40F-4372-83D3-89C7402BA552}" uniqueName="8" name="grain_input_kg" queryTableFieldId="8"/>
    <tableColumn id="9" xr3:uid="{B92AB052-0DBB-4C8E-A4E7-709E00ABB481}" uniqueName="9" name="water_input_L" queryTableFieldId="9"/>
    <tableColumn id="10" xr3:uid="{0ACA15FC-9292-4EF4-851A-8ECA08DDB43A}" uniqueName="10" name="scheduled_output_L" queryTableFieldId="10"/>
    <tableColumn id="11" xr3:uid="{857293F3-B61E-42D5-A0A9-050645A0FB3C}" uniqueName="11" name="actual_output_L" queryTableFieldId="11"/>
    <tableColumn id="12" xr3:uid="{95DB5827-70BA-4F8E-9D28-6F173DEFDDAB}" uniqueName="12" name="variance_L" queryTableFieldId="12"/>
    <tableColumn id="13" xr3:uid="{554D42D1-2DAC-49BA-87A7-5BB3E82D2D66}" uniqueName="13" name="variance_pct" queryTableFieldId="13"/>
    <tableColumn id="14" xr3:uid="{49F2DC8F-FF4B-4CF6-B006-DE9F23E41C38}" uniqueName="14" name="still_run_hrs" queryTableFieldId="14"/>
    <tableColumn id="15" xr3:uid="{CA3E58D5-52E1-42C3-8F1D-8C703A702C1F}" uniqueName="15" name="energy_consumed_GJ" queryTableFieldId="15"/>
    <tableColumn id="16" xr3:uid="{8B9D3B08-5B4A-44DE-918A-97F0FF009BB7}" uniqueName="16" name="abv_target_pct" queryTableFieldId="16"/>
    <tableColumn id="17" xr3:uid="{F29E41EB-36C8-456A-B55A-B9FCFE29F29A}" uniqueName="17" name="abv_actual_pct" queryTableFieldId="17"/>
    <tableColumn id="18" xr3:uid="{2B61E99F-2DD2-409F-86ED-A32BB009D7F0}" uniqueName="18" name="downtime_hrs" queryTableFieldId="18"/>
    <tableColumn id="19" xr3:uid="{107FFFB4-7445-4871-A0D2-4126113CEF2B}" uniqueName="19" name="downtime_reason" queryTableFieldId="19" dataDxfId="30"/>
    <tableColumn id="20" xr3:uid="{F6109408-2887-41FB-9FC1-3644937A4161}" uniqueName="20" name="qc_status" queryTableFieldId="20" dataDxfId="29"/>
    <tableColumn id="25" xr3:uid="{594BD04C-6BAD-44FF-BD86-5CD62C8E5067}" uniqueName="25" name="QC Status Count" queryTableFieldId="34" dataDxfId="3">
      <calculatedColumnFormula>IF(Merge1[[#This Row],[qc_status]]="PASS",1,0)</calculatedColumnFormula>
    </tableColumn>
    <tableColumn id="21" xr3:uid="{8CA1B30E-C4A3-4B11-A54D-2B795617D4A0}" uniqueName="21" name="erp_batch_ref" queryTableFieldId="21" dataDxfId="28"/>
    <tableColumn id="22" xr3:uid="{C1D339AF-11B7-42C9-9BEF-E91C2E1266DC}" uniqueName="22" name="notes" queryTableFieldId="22" dataDxfId="27"/>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Sites" displayName="Sites" ref="A1:F6">
  <autoFilter ref="A1:F6" xr:uid="{00000000-0009-0000-0100-000006000000}"/>
  <tableColumns count="6">
    <tableColumn id="1" xr3:uid="{00000000-0010-0000-0500-000001000000}" name="site_id"/>
    <tableColumn id="2" xr3:uid="{00000000-0010-0000-0500-000002000000}" name="site_name"/>
    <tableColumn id="3" xr3:uid="{00000000-0010-0000-0500-000003000000}" name="region"/>
    <tableColumn id="4" xr3:uid="{00000000-0010-0000-0500-000004000000}" name="primary_function"/>
    <tableColumn id="5" xr3:uid="{00000000-0010-0000-0500-000005000000}" name="capacity_L_per_day"/>
    <tableColumn id="6" xr3:uid="{00000000-0010-0000-0500-000006000000}" name="operational_sinc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Operators" displayName="Operators" ref="A1:E6">
  <autoFilter ref="A1:E6" xr:uid="{00000000-0009-0000-0100-000007000000}"/>
  <tableColumns count="5">
    <tableColumn id="1" xr3:uid="{00000000-0010-0000-0600-000001000000}" name="operator_id"/>
    <tableColumn id="2" xr3:uid="{00000000-0010-0000-0600-000002000000}" name="operator_name"/>
    <tableColumn id="3" xr3:uid="{00000000-0010-0000-0600-000003000000}" name="role"/>
    <tableColumn id="4" xr3:uid="{00000000-0010-0000-0600-000004000000}" name="primary_site"/>
    <tableColumn id="5" xr3:uid="{00000000-0010-0000-0600-000005000000}" name="years_experienc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Equipment" displayName="Equipment" ref="A1:F14">
  <autoFilter ref="A1:F14" xr:uid="{00000000-0009-0000-0100-000008000000}"/>
  <tableColumns count="6">
    <tableColumn id="1" xr3:uid="{00000000-0010-0000-0700-000001000000}" name="equipment_id"/>
    <tableColumn id="2" xr3:uid="{00000000-0010-0000-0700-000002000000}" name="equipment_name"/>
    <tableColumn id="3" xr3:uid="{00000000-0010-0000-0700-000003000000}" name="equipment_type"/>
    <tableColumn id="4" xr3:uid="{00000000-0010-0000-0700-000004000000}" name="site_id"/>
    <tableColumn id="5" xr3:uid="{00000000-0010-0000-0700-000005000000}" name="install_year"/>
    <tableColumn id="6" xr3:uid="{00000000-0010-0000-0700-000006000000}" name="design_capa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3FA50-4C28-4127-BF01-D85D402CEED2}">
  <sheetPr>
    <tabColor rgb="FF7030A0"/>
  </sheetPr>
  <dimension ref="A4:C80"/>
  <sheetViews>
    <sheetView showGridLines="0" topLeftCell="D1" workbookViewId="0">
      <selection activeCellId="3" sqref="B73 C1:C1048576 B1:B1048576 A1:A1048576"/>
    </sheetView>
  </sheetViews>
  <sheetFormatPr defaultRowHeight="14.5" x14ac:dyDescent="0.35"/>
  <cols>
    <col min="1" max="1" width="21.453125" hidden="1" customWidth="1"/>
    <col min="2" max="2" width="25.36328125" hidden="1" customWidth="1"/>
    <col min="3" max="3" width="18.81640625" hidden="1" customWidth="1"/>
    <col min="4" max="4" width="24.36328125" bestFit="1" customWidth="1"/>
    <col min="5" max="5" width="21.26953125" bestFit="1" customWidth="1"/>
  </cols>
  <sheetData>
    <row r="4" spans="1:3" x14ac:dyDescent="0.35">
      <c r="A4" s="46" t="s">
        <v>1296</v>
      </c>
      <c r="B4" t="s">
        <v>1309</v>
      </c>
      <c r="C4" t="s">
        <v>1308</v>
      </c>
    </row>
    <row r="5" spans="1:3" x14ac:dyDescent="0.35">
      <c r="A5" s="47" t="s">
        <v>1298</v>
      </c>
      <c r="B5" s="48">
        <v>2656.1</v>
      </c>
      <c r="C5" s="48">
        <v>2749.1000000000004</v>
      </c>
    </row>
    <row r="6" spans="1:3" x14ac:dyDescent="0.35">
      <c r="A6" s="47" t="s">
        <v>1299</v>
      </c>
      <c r="B6" s="48">
        <v>1001.5</v>
      </c>
      <c r="C6" s="48">
        <v>1001.3</v>
      </c>
    </row>
    <row r="7" spans="1:3" x14ac:dyDescent="0.35">
      <c r="A7" s="47" t="s">
        <v>1300</v>
      </c>
      <c r="B7" s="48">
        <v>3256.9</v>
      </c>
      <c r="C7" s="48">
        <v>3172.6</v>
      </c>
    </row>
    <row r="8" spans="1:3" x14ac:dyDescent="0.35">
      <c r="A8" s="47" t="s">
        <v>1326</v>
      </c>
      <c r="B8" s="48">
        <v>2154</v>
      </c>
      <c r="C8" s="48">
        <v>2147</v>
      </c>
    </row>
    <row r="9" spans="1:3" x14ac:dyDescent="0.35">
      <c r="A9" s="47" t="s">
        <v>1301</v>
      </c>
      <c r="B9" s="48">
        <v>1958.4</v>
      </c>
      <c r="C9" s="48">
        <v>2005.8</v>
      </c>
    </row>
    <row r="10" spans="1:3" x14ac:dyDescent="0.35">
      <c r="A10" s="47" t="s">
        <v>1302</v>
      </c>
      <c r="B10" s="48">
        <v>1786.8000000000002</v>
      </c>
      <c r="C10" s="48">
        <v>1715</v>
      </c>
    </row>
    <row r="11" spans="1:3" x14ac:dyDescent="0.35">
      <c r="A11" s="47" t="s">
        <v>1303</v>
      </c>
      <c r="B11" s="48">
        <v>916.69999999999993</v>
      </c>
      <c r="C11" s="48">
        <v>904.4</v>
      </c>
    </row>
    <row r="12" spans="1:3" x14ac:dyDescent="0.35">
      <c r="A12" s="47" t="s">
        <v>1304</v>
      </c>
      <c r="B12" s="48">
        <v>790.1</v>
      </c>
      <c r="C12" s="48">
        <v>804.09999999999991</v>
      </c>
    </row>
    <row r="13" spans="1:3" x14ac:dyDescent="0.35">
      <c r="A13" s="47" t="s">
        <v>1305</v>
      </c>
      <c r="B13" s="48">
        <v>2610.4</v>
      </c>
      <c r="C13" s="48">
        <v>2592.5</v>
      </c>
    </row>
    <row r="14" spans="1:3" x14ac:dyDescent="0.35">
      <c r="A14" s="47" t="s">
        <v>1306</v>
      </c>
      <c r="B14" s="48">
        <v>752.7</v>
      </c>
      <c r="C14" s="48">
        <v>739.7</v>
      </c>
    </row>
    <row r="15" spans="1:3" x14ac:dyDescent="0.35">
      <c r="A15" s="47" t="s">
        <v>1307</v>
      </c>
      <c r="B15" s="48">
        <v>858.90000000000009</v>
      </c>
      <c r="C15" s="48">
        <v>814.7</v>
      </c>
    </row>
    <row r="16" spans="1:3" x14ac:dyDescent="0.35">
      <c r="A16" s="47" t="s">
        <v>1297</v>
      </c>
      <c r="B16" s="48">
        <v>18742.500000000004</v>
      </c>
      <c r="C16" s="48">
        <v>18646.2</v>
      </c>
    </row>
    <row r="23" spans="1:3" x14ac:dyDescent="0.35">
      <c r="A23" s="46" t="s">
        <v>1318</v>
      </c>
      <c r="B23" s="46" t="s">
        <v>1317</v>
      </c>
    </row>
    <row r="24" spans="1:3" x14ac:dyDescent="0.35">
      <c r="A24" s="46" t="s">
        <v>1296</v>
      </c>
      <c r="B24" t="s">
        <v>97</v>
      </c>
      <c r="C24" t="s">
        <v>1297</v>
      </c>
    </row>
    <row r="25" spans="1:3" x14ac:dyDescent="0.35">
      <c r="A25" s="47" t="s">
        <v>1298</v>
      </c>
      <c r="B25" s="62">
        <v>9</v>
      </c>
      <c r="C25" s="62">
        <v>9</v>
      </c>
    </row>
    <row r="26" spans="1:3" x14ac:dyDescent="0.35">
      <c r="A26" s="47" t="s">
        <v>1299</v>
      </c>
      <c r="B26" s="62">
        <v>0</v>
      </c>
      <c r="C26" s="62">
        <v>0</v>
      </c>
    </row>
    <row r="27" spans="1:3" x14ac:dyDescent="0.35">
      <c r="A27" s="47" t="s">
        <v>1300</v>
      </c>
      <c r="B27" s="62">
        <v>8.5</v>
      </c>
      <c r="C27" s="62">
        <v>8.5</v>
      </c>
    </row>
    <row r="28" spans="1:3" x14ac:dyDescent="0.35">
      <c r="A28" s="47" t="s">
        <v>1326</v>
      </c>
      <c r="B28" s="62">
        <v>7</v>
      </c>
      <c r="C28" s="62">
        <v>7</v>
      </c>
    </row>
    <row r="29" spans="1:3" x14ac:dyDescent="0.35">
      <c r="A29" s="47" t="s">
        <v>1301</v>
      </c>
      <c r="B29" s="62">
        <v>5</v>
      </c>
      <c r="C29" s="62">
        <v>5</v>
      </c>
    </row>
    <row r="30" spans="1:3" x14ac:dyDescent="0.35">
      <c r="A30" s="47" t="s">
        <v>1302</v>
      </c>
      <c r="B30" s="62">
        <v>0</v>
      </c>
      <c r="C30" s="62">
        <v>0</v>
      </c>
    </row>
    <row r="31" spans="1:3" x14ac:dyDescent="0.35">
      <c r="A31" s="47" t="s">
        <v>1303</v>
      </c>
      <c r="B31" s="62">
        <v>2.5</v>
      </c>
      <c r="C31" s="62">
        <v>2.5</v>
      </c>
    </row>
    <row r="32" spans="1:3" x14ac:dyDescent="0.35">
      <c r="A32" s="47" t="s">
        <v>1304</v>
      </c>
      <c r="B32" s="62">
        <v>5</v>
      </c>
      <c r="C32" s="62">
        <v>5</v>
      </c>
    </row>
    <row r="33" spans="1:3" x14ac:dyDescent="0.35">
      <c r="A33" s="47" t="s">
        <v>1305</v>
      </c>
      <c r="B33" s="62">
        <v>8</v>
      </c>
      <c r="C33" s="62">
        <v>8</v>
      </c>
    </row>
    <row r="34" spans="1:3" x14ac:dyDescent="0.35">
      <c r="A34" s="47" t="s">
        <v>1306</v>
      </c>
      <c r="B34" s="62">
        <v>0</v>
      </c>
      <c r="C34" s="62">
        <v>0</v>
      </c>
    </row>
    <row r="35" spans="1:3" x14ac:dyDescent="0.35">
      <c r="A35" s="47" t="s">
        <v>1307</v>
      </c>
      <c r="B35" s="62">
        <v>3</v>
      </c>
      <c r="C35" s="62">
        <v>3</v>
      </c>
    </row>
    <row r="36" spans="1:3" x14ac:dyDescent="0.35">
      <c r="A36" s="47" t="s">
        <v>1297</v>
      </c>
      <c r="B36" s="62">
        <v>48</v>
      </c>
      <c r="C36" s="62">
        <v>48</v>
      </c>
    </row>
    <row r="45" spans="1:3" x14ac:dyDescent="0.35">
      <c r="A45" s="46" t="s">
        <v>1296</v>
      </c>
      <c r="B45" t="s">
        <v>1312</v>
      </c>
    </row>
    <row r="46" spans="1:3" x14ac:dyDescent="0.35">
      <c r="A46" s="47" t="s">
        <v>92</v>
      </c>
      <c r="B46" s="59">
        <v>0.83333333333333337</v>
      </c>
    </row>
    <row r="47" spans="1:3" x14ac:dyDescent="0.35">
      <c r="A47" s="47" t="s">
        <v>75</v>
      </c>
      <c r="B47" s="59">
        <v>0.83333333333333337</v>
      </c>
    </row>
    <row r="48" spans="1:3" x14ac:dyDescent="0.35">
      <c r="A48" s="47" t="s">
        <v>24</v>
      </c>
      <c r="B48" s="59">
        <v>0.33333333333333331</v>
      </c>
    </row>
    <row r="49" spans="1:3" x14ac:dyDescent="0.35">
      <c r="A49" s="47" t="s">
        <v>54</v>
      </c>
      <c r="B49" s="59">
        <v>0.6</v>
      </c>
    </row>
    <row r="50" spans="1:3" x14ac:dyDescent="0.35">
      <c r="A50" s="47" t="s">
        <v>37</v>
      </c>
      <c r="B50" s="59">
        <v>0.81818181818181823</v>
      </c>
    </row>
    <row r="51" spans="1:3" x14ac:dyDescent="0.35">
      <c r="A51" s="47" t="s">
        <v>1297</v>
      </c>
      <c r="B51" s="59">
        <v>0.72222222222222221</v>
      </c>
    </row>
    <row r="59" spans="1:3" x14ac:dyDescent="0.35">
      <c r="A59" s="46" t="s">
        <v>1319</v>
      </c>
      <c r="B59" s="46" t="s">
        <v>1317</v>
      </c>
    </row>
    <row r="60" spans="1:3" x14ac:dyDescent="0.35">
      <c r="A60" s="46" t="s">
        <v>1296</v>
      </c>
      <c r="B60" t="s">
        <v>97</v>
      </c>
      <c r="C60" t="s">
        <v>1297</v>
      </c>
    </row>
    <row r="61" spans="1:3" x14ac:dyDescent="0.35">
      <c r="A61" s="47" t="s">
        <v>45</v>
      </c>
      <c r="B61" s="64">
        <v>3</v>
      </c>
      <c r="C61" s="64">
        <v>3</v>
      </c>
    </row>
    <row r="62" spans="1:3" x14ac:dyDescent="0.35">
      <c r="A62" s="47" t="s">
        <v>239</v>
      </c>
      <c r="B62" s="64">
        <v>2</v>
      </c>
      <c r="C62" s="64">
        <v>2</v>
      </c>
    </row>
    <row r="63" spans="1:3" x14ac:dyDescent="0.35">
      <c r="A63" s="47" t="s">
        <v>100</v>
      </c>
      <c r="B63" s="64">
        <v>3</v>
      </c>
      <c r="C63" s="64">
        <v>3</v>
      </c>
    </row>
    <row r="64" spans="1:3" x14ac:dyDescent="0.35">
      <c r="A64" s="47" t="s">
        <v>146</v>
      </c>
      <c r="B64" s="64">
        <v>1</v>
      </c>
      <c r="C64" s="64">
        <v>1</v>
      </c>
    </row>
    <row r="65" spans="1:3" x14ac:dyDescent="0.35">
      <c r="A65" s="47" t="s">
        <v>70</v>
      </c>
      <c r="B65" s="64">
        <v>3</v>
      </c>
      <c r="C65" s="64">
        <v>3</v>
      </c>
    </row>
    <row r="66" spans="1:3" x14ac:dyDescent="0.35">
      <c r="A66" s="47" t="s">
        <v>1297</v>
      </c>
      <c r="B66" s="64">
        <v>12</v>
      </c>
      <c r="C66" s="64">
        <v>12</v>
      </c>
    </row>
    <row r="73" spans="1:3" x14ac:dyDescent="0.35">
      <c r="A73" s="46" t="s">
        <v>1296</v>
      </c>
      <c r="B73" t="s">
        <v>1320</v>
      </c>
    </row>
    <row r="74" spans="1:3" x14ac:dyDescent="0.35">
      <c r="A74" s="47" t="s">
        <v>97</v>
      </c>
      <c r="B74" s="60">
        <v>2.5280754255558768E-2</v>
      </c>
    </row>
    <row r="75" spans="1:3" x14ac:dyDescent="0.35">
      <c r="A75" s="63" t="s">
        <v>92</v>
      </c>
      <c r="B75" s="60">
        <v>1.9164513350559863E-2</v>
      </c>
    </row>
    <row r="76" spans="1:3" x14ac:dyDescent="0.35">
      <c r="A76" s="63" t="s">
        <v>75</v>
      </c>
      <c r="B76" s="60">
        <v>2.6166566244895228E-2</v>
      </c>
    </row>
    <row r="77" spans="1:3" x14ac:dyDescent="0.35">
      <c r="A77" s="63" t="s">
        <v>24</v>
      </c>
      <c r="B77" s="60">
        <v>3.5796958922762696E-2</v>
      </c>
    </row>
    <row r="78" spans="1:3" x14ac:dyDescent="0.35">
      <c r="A78" s="63" t="s">
        <v>54</v>
      </c>
      <c r="B78" s="60">
        <v>2.7956017804415839E-2</v>
      </c>
    </row>
    <row r="79" spans="1:3" x14ac:dyDescent="0.35">
      <c r="A79" s="63" t="s">
        <v>37</v>
      </c>
      <c r="B79" s="60">
        <v>2.3935918386047438E-2</v>
      </c>
    </row>
    <row r="80" spans="1:3" x14ac:dyDescent="0.35">
      <c r="A80" s="47" t="s">
        <v>1297</v>
      </c>
      <c r="B80" s="60">
        <v>2.5280754255558768E-2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4AABA8"/>
  </sheetPr>
  <dimension ref="A1:Y201"/>
  <sheetViews>
    <sheetView workbookViewId="0">
      <pane ySplit="1" topLeftCell="A165" activePane="bottomLeft" state="frozen"/>
      <selection pane="bottomLeft" activeCell="E9" sqref="A2:Y201"/>
    </sheetView>
  </sheetViews>
  <sheetFormatPr defaultRowHeight="14.5" x14ac:dyDescent="0.35"/>
  <cols>
    <col min="1" max="1" width="16" customWidth="1"/>
    <col min="2" max="2" width="13" customWidth="1"/>
    <col min="3" max="3" width="10" customWidth="1"/>
    <col min="4" max="4" width="20" customWidth="1"/>
    <col min="5" max="5" width="17" customWidth="1"/>
    <col min="6" max="6" width="11.90625" customWidth="1"/>
    <col min="7" max="7" width="8" customWidth="1"/>
    <col min="8" max="8" width="15" customWidth="1"/>
    <col min="9" max="9" width="14.08984375" customWidth="1"/>
    <col min="10" max="10" width="19" customWidth="1"/>
    <col min="11" max="11" width="18" customWidth="1"/>
    <col min="12" max="12" width="14" customWidth="1"/>
    <col min="13" max="13" width="13" customWidth="1"/>
    <col min="14" max="14" width="14" customWidth="1"/>
    <col min="15" max="15" width="20.81640625" customWidth="1"/>
    <col min="16" max="16" width="14.6328125" customWidth="1"/>
    <col min="17" max="17" width="14.7265625" customWidth="1"/>
    <col min="18" max="18" width="14.1796875" customWidth="1"/>
    <col min="19" max="20" width="28" customWidth="1"/>
    <col min="21" max="22" width="11" customWidth="1"/>
    <col min="23" max="23" width="17" customWidth="1"/>
    <col min="24" max="24" width="44" customWidth="1"/>
  </cols>
  <sheetData>
    <row r="1" spans="1:25" ht="28" customHeight="1" x14ac:dyDescent="0.35">
      <c r="A1" s="1" t="s">
        <v>0</v>
      </c>
      <c r="B1" s="1" t="s">
        <v>1</v>
      </c>
      <c r="C1" s="1" t="s">
        <v>2</v>
      </c>
      <c r="D1" s="1" t="s">
        <v>3</v>
      </c>
      <c r="E1" s="1" t="s">
        <v>4</v>
      </c>
      <c r="F1" s="1" t="s">
        <v>5</v>
      </c>
      <c r="G1" s="1" t="s">
        <v>1313</v>
      </c>
      <c r="H1" s="1" t="s">
        <v>6</v>
      </c>
      <c r="I1" s="1" t="s">
        <v>7</v>
      </c>
      <c r="J1" s="1" t="s">
        <v>8</v>
      </c>
      <c r="K1" s="1" t="s">
        <v>9</v>
      </c>
      <c r="L1" s="1" t="s">
        <v>10</v>
      </c>
      <c r="M1" s="58" t="s">
        <v>11</v>
      </c>
      <c r="N1" s="53" t="s">
        <v>12</v>
      </c>
      <c r="O1" s="1" t="s">
        <v>13</v>
      </c>
      <c r="P1" s="1" t="s">
        <v>14</v>
      </c>
      <c r="Q1" s="1" t="s">
        <v>15</v>
      </c>
      <c r="R1" s="1" t="s">
        <v>16</v>
      </c>
      <c r="S1" s="1" t="s">
        <v>17</v>
      </c>
      <c r="T1" s="1" t="s">
        <v>18</v>
      </c>
      <c r="U1" s="1" t="s">
        <v>1310</v>
      </c>
      <c r="V1" s="1" t="s">
        <v>19</v>
      </c>
      <c r="W1" s="61" t="s">
        <v>1311</v>
      </c>
      <c r="X1" s="1" t="s">
        <v>20</v>
      </c>
      <c r="Y1" s="1" t="s">
        <v>21</v>
      </c>
    </row>
    <row r="2" spans="1:25" x14ac:dyDescent="0.35">
      <c r="A2" s="2" t="s">
        <v>22</v>
      </c>
      <c r="B2" s="49">
        <v>44927</v>
      </c>
      <c r="C2" s="2" t="s">
        <v>23</v>
      </c>
      <c r="D2" s="4" t="s">
        <v>24</v>
      </c>
      <c r="E2" s="4" t="s">
        <v>25</v>
      </c>
      <c r="F2" s="2" t="s">
        <v>26</v>
      </c>
      <c r="G2" s="2" t="str">
        <f>_xlfn.XLOOKUP(Table2[[#This Row],[operator_id]],Operators[operator_id],Operators[operator_name])</f>
        <v>M. Chen</v>
      </c>
      <c r="H2" s="2" t="s">
        <v>27</v>
      </c>
      <c r="I2" s="5">
        <v>1133.7</v>
      </c>
      <c r="J2" s="5">
        <v>5470.7</v>
      </c>
      <c r="K2" s="5">
        <v>658.7</v>
      </c>
      <c r="L2" s="5">
        <v>677.4</v>
      </c>
      <c r="M2" s="9">
        <v>18.7</v>
      </c>
      <c r="N2" s="54">
        <v>2.8400000000000002E-2</v>
      </c>
      <c r="O2" s="8">
        <v>15.5</v>
      </c>
      <c r="P2" s="9">
        <v>19.05</v>
      </c>
      <c r="Q2" s="8">
        <v>62.5</v>
      </c>
      <c r="R2" s="8">
        <v>62.2</v>
      </c>
      <c r="S2" s="8">
        <v>2</v>
      </c>
      <c r="T2" s="4"/>
      <c r="U2" s="4">
        <f>IF(V2="Pass",1,0)</f>
        <v>1</v>
      </c>
      <c r="V2" s="10" t="s">
        <v>28</v>
      </c>
      <c r="X2" s="2" t="s">
        <v>29</v>
      </c>
      <c r="Y2" s="4"/>
    </row>
    <row r="3" spans="1:25" x14ac:dyDescent="0.35">
      <c r="A3" s="11" t="s">
        <v>30</v>
      </c>
      <c r="B3" s="50">
        <v>44928</v>
      </c>
      <c r="C3" s="11" t="s">
        <v>31</v>
      </c>
      <c r="D3" s="13" t="s">
        <v>24</v>
      </c>
      <c r="E3" s="13" t="s">
        <v>32</v>
      </c>
      <c r="F3" s="11" t="s">
        <v>33</v>
      </c>
      <c r="G3" s="11" t="str">
        <f>_xlfn.XLOOKUP(Table2[[#This Row],[operator_id]],Operators[operator_id],Operators[operator_name])</f>
        <v>S. Patel</v>
      </c>
      <c r="H3" s="11" t="s">
        <v>34</v>
      </c>
      <c r="I3" s="14">
        <v>968.1</v>
      </c>
      <c r="J3" s="14">
        <v>3761.3</v>
      </c>
      <c r="K3" s="14">
        <v>569.29999999999995</v>
      </c>
      <c r="L3" s="14">
        <v>579</v>
      </c>
      <c r="M3" s="18">
        <v>9.6999999999999993</v>
      </c>
      <c r="N3" s="55">
        <v>1.7000000000000001E-2</v>
      </c>
      <c r="O3" s="17">
        <v>12.1</v>
      </c>
      <c r="P3" s="18">
        <v>16.2</v>
      </c>
      <c r="Q3" s="17">
        <v>62.3</v>
      </c>
      <c r="R3" s="19">
        <v>63.9</v>
      </c>
      <c r="S3" s="17">
        <v>0</v>
      </c>
      <c r="T3" s="13"/>
      <c r="U3" s="4">
        <f t="shared" ref="U3:U66" si="0">IF(V3="Pass",1,0)</f>
        <v>1</v>
      </c>
      <c r="V3" s="10" t="s">
        <v>28</v>
      </c>
      <c r="X3" s="11" t="s">
        <v>35</v>
      </c>
      <c r="Y3" s="13"/>
    </row>
    <row r="4" spans="1:25" x14ac:dyDescent="0.35">
      <c r="A4" s="2" t="s">
        <v>36</v>
      </c>
      <c r="B4" s="49">
        <v>44928</v>
      </c>
      <c r="C4" s="2" t="s">
        <v>31</v>
      </c>
      <c r="D4" s="4" t="s">
        <v>37</v>
      </c>
      <c r="E4" s="4" t="s">
        <v>32</v>
      </c>
      <c r="F4" s="2" t="s">
        <v>26</v>
      </c>
      <c r="G4" s="2" t="str">
        <f>_xlfn.XLOOKUP(Table2[[#This Row],[operator_id]],Operators[operator_id],Operators[operator_name])</f>
        <v>M. Chen</v>
      </c>
      <c r="H4" s="2" t="s">
        <v>27</v>
      </c>
      <c r="I4" s="5">
        <v>651.29999999999995</v>
      </c>
      <c r="J4" s="5">
        <v>3235.9</v>
      </c>
      <c r="K4" s="5">
        <v>366.1</v>
      </c>
      <c r="L4" s="5">
        <v>368.7</v>
      </c>
      <c r="M4" s="9">
        <v>2.6</v>
      </c>
      <c r="N4" s="54">
        <v>7.1000000000000004E-3</v>
      </c>
      <c r="O4" s="8">
        <v>8.1</v>
      </c>
      <c r="P4" s="9">
        <v>8.1</v>
      </c>
      <c r="Q4" s="8">
        <v>61.5</v>
      </c>
      <c r="R4" s="8">
        <v>61.6</v>
      </c>
      <c r="S4" s="8">
        <v>3</v>
      </c>
      <c r="T4" s="4"/>
      <c r="U4" s="4">
        <f t="shared" si="0"/>
        <v>0</v>
      </c>
      <c r="V4" s="20" t="s">
        <v>38</v>
      </c>
      <c r="X4" s="2" t="s">
        <v>39</v>
      </c>
      <c r="Y4" s="4" t="s">
        <v>40</v>
      </c>
    </row>
    <row r="5" spans="1:25" x14ac:dyDescent="0.35">
      <c r="A5" s="11" t="s">
        <v>41</v>
      </c>
      <c r="B5" s="50">
        <v>44929</v>
      </c>
      <c r="C5" s="11" t="s">
        <v>42</v>
      </c>
      <c r="D5" s="13" t="s">
        <v>24</v>
      </c>
      <c r="E5" s="13" t="s">
        <v>43</v>
      </c>
      <c r="F5" s="11" t="s">
        <v>44</v>
      </c>
      <c r="G5" s="11" t="str">
        <f>_xlfn.XLOOKUP(Table2[[#This Row],[operator_id]],Operators[operator_id],Operators[operator_name])</f>
        <v>K. Fraser</v>
      </c>
      <c r="H5" s="11" t="s">
        <v>27</v>
      </c>
      <c r="I5" s="14">
        <v>903.4</v>
      </c>
      <c r="J5" s="14">
        <v>3272.6</v>
      </c>
      <c r="K5" s="14">
        <v>632</v>
      </c>
      <c r="L5" s="14">
        <v>618.20000000000005</v>
      </c>
      <c r="M5" s="52">
        <v>-13.8</v>
      </c>
      <c r="N5" s="56">
        <v>-2.18E-2</v>
      </c>
      <c r="O5" s="17">
        <v>6.1</v>
      </c>
      <c r="P5" s="18">
        <v>8.2899999999999991</v>
      </c>
      <c r="Q5" s="17">
        <v>60.4</v>
      </c>
      <c r="R5" s="17">
        <v>59.9</v>
      </c>
      <c r="S5" s="17">
        <v>0.5</v>
      </c>
      <c r="T5" s="13" t="s">
        <v>45</v>
      </c>
      <c r="U5" s="4">
        <f t="shared" si="0"/>
        <v>1</v>
      </c>
      <c r="V5" s="10" t="s">
        <v>28</v>
      </c>
      <c r="X5" s="11" t="s">
        <v>46</v>
      </c>
      <c r="Y5" s="13"/>
    </row>
    <row r="6" spans="1:25" x14ac:dyDescent="0.35">
      <c r="A6" s="2" t="s">
        <v>47</v>
      </c>
      <c r="B6" s="49">
        <v>44932</v>
      </c>
      <c r="C6" s="2" t="s">
        <v>42</v>
      </c>
      <c r="D6" s="4" t="s">
        <v>24</v>
      </c>
      <c r="E6" s="4" t="s">
        <v>48</v>
      </c>
      <c r="F6" s="2" t="s">
        <v>44</v>
      </c>
      <c r="G6" s="2" t="str">
        <f>_xlfn.XLOOKUP(Table2[[#This Row],[operator_id]],Operators[operator_id],Operators[operator_name])</f>
        <v>K. Fraser</v>
      </c>
      <c r="H6" s="2" t="s">
        <v>34</v>
      </c>
      <c r="I6" s="5">
        <v>719.3</v>
      </c>
      <c r="J6" s="5">
        <v>3700.6</v>
      </c>
      <c r="K6" s="5">
        <v>444.5</v>
      </c>
      <c r="L6" s="5">
        <v>443.9</v>
      </c>
      <c r="M6" s="52">
        <v>-0.6</v>
      </c>
      <c r="N6" s="56">
        <v>-1.2999999999999999E-3</v>
      </c>
      <c r="O6" s="8">
        <v>5.3</v>
      </c>
      <c r="P6" s="9">
        <v>7.04</v>
      </c>
      <c r="Q6" s="8">
        <v>69.2</v>
      </c>
      <c r="R6" s="8">
        <v>70.3</v>
      </c>
      <c r="S6" s="8">
        <v>0</v>
      </c>
      <c r="T6" s="4"/>
      <c r="U6" s="4">
        <f t="shared" si="0"/>
        <v>1</v>
      </c>
      <c r="V6" s="10" t="s">
        <v>28</v>
      </c>
      <c r="X6" s="2" t="s">
        <v>49</v>
      </c>
      <c r="Y6" s="4"/>
    </row>
    <row r="7" spans="1:25" x14ac:dyDescent="0.35">
      <c r="A7" s="11" t="s">
        <v>50</v>
      </c>
      <c r="B7" s="50">
        <v>44932</v>
      </c>
      <c r="C7" s="11" t="s">
        <v>51</v>
      </c>
      <c r="D7" s="13" t="s">
        <v>24</v>
      </c>
      <c r="E7" s="13" t="s">
        <v>32</v>
      </c>
      <c r="F7" s="11" t="s">
        <v>33</v>
      </c>
      <c r="G7" s="11" t="str">
        <f>_xlfn.XLOOKUP(Table2[[#This Row],[operator_id]],Operators[operator_id],Operators[operator_name])</f>
        <v>S. Patel</v>
      </c>
      <c r="H7" s="11" t="s">
        <v>27</v>
      </c>
      <c r="I7" s="14">
        <v>466.9</v>
      </c>
      <c r="J7" s="14">
        <v>1816.3</v>
      </c>
      <c r="K7" s="14">
        <v>330.9</v>
      </c>
      <c r="L7" s="14">
        <v>329.2</v>
      </c>
      <c r="M7" s="52">
        <v>-1.7</v>
      </c>
      <c r="N7" s="56">
        <v>-5.1000000000000004E-3</v>
      </c>
      <c r="O7" s="17">
        <v>5.6</v>
      </c>
      <c r="P7" s="18">
        <v>6.94</v>
      </c>
      <c r="Q7" s="17">
        <v>67.099999999999994</v>
      </c>
      <c r="R7" s="19">
        <v>65.5</v>
      </c>
      <c r="S7" s="17">
        <v>1</v>
      </c>
      <c r="T7" s="13"/>
      <c r="U7" s="4">
        <f t="shared" si="0"/>
        <v>1</v>
      </c>
      <c r="V7" s="10" t="s">
        <v>28</v>
      </c>
      <c r="X7" s="11" t="s">
        <v>52</v>
      </c>
      <c r="Y7" s="13"/>
    </row>
    <row r="8" spans="1:25" x14ac:dyDescent="0.35">
      <c r="A8" s="2" t="s">
        <v>53</v>
      </c>
      <c r="B8" s="49">
        <v>44934</v>
      </c>
      <c r="C8" s="2" t="s">
        <v>23</v>
      </c>
      <c r="D8" s="4" t="s">
        <v>54</v>
      </c>
      <c r="E8" s="4" t="s">
        <v>32</v>
      </c>
      <c r="F8" s="2" t="s">
        <v>55</v>
      </c>
      <c r="G8" s="2" t="str">
        <f>_xlfn.XLOOKUP(Table2[[#This Row],[operator_id]],Operators[operator_id],Operators[operator_name])</f>
        <v>T. Dinesh</v>
      </c>
      <c r="H8" s="2" t="s">
        <v>34</v>
      </c>
      <c r="I8" s="5">
        <v>924.1</v>
      </c>
      <c r="J8" s="5">
        <v>3241.6</v>
      </c>
      <c r="K8" s="5">
        <v>615.20000000000005</v>
      </c>
      <c r="L8" s="5">
        <v>578.70000000000005</v>
      </c>
      <c r="M8" s="51">
        <v>-36.5</v>
      </c>
      <c r="N8" s="57">
        <v>-5.9299999999999999E-2</v>
      </c>
      <c r="O8" s="8">
        <v>8.5</v>
      </c>
      <c r="P8" s="9">
        <v>8.1300000000000008</v>
      </c>
      <c r="Q8" s="8">
        <v>61.4</v>
      </c>
      <c r="R8" s="19">
        <v>63.5</v>
      </c>
      <c r="S8" s="8">
        <v>0</v>
      </c>
      <c r="T8" s="4"/>
      <c r="U8" s="4">
        <f t="shared" si="0"/>
        <v>1</v>
      </c>
      <c r="V8" s="10" t="s">
        <v>28</v>
      </c>
      <c r="X8" s="2" t="s">
        <v>56</v>
      </c>
      <c r="Y8" s="4" t="s">
        <v>57</v>
      </c>
    </row>
    <row r="9" spans="1:25" x14ac:dyDescent="0.35">
      <c r="A9" s="11" t="s">
        <v>58</v>
      </c>
      <c r="B9" s="50">
        <v>44934</v>
      </c>
      <c r="C9" s="11" t="s">
        <v>42</v>
      </c>
      <c r="D9" s="13" t="s">
        <v>24</v>
      </c>
      <c r="E9" s="13" t="s">
        <v>25</v>
      </c>
      <c r="F9" s="11" t="s">
        <v>59</v>
      </c>
      <c r="G9" s="11" t="str">
        <f>_xlfn.XLOOKUP(Table2[[#This Row],[operator_id]],Operators[operator_id],Operators[operator_name])</f>
        <v>R. Osei</v>
      </c>
      <c r="H9" s="11" t="s">
        <v>27</v>
      </c>
      <c r="I9" s="14">
        <v>824.9</v>
      </c>
      <c r="J9" s="14">
        <v>3736.2</v>
      </c>
      <c r="K9" s="14">
        <v>593.9</v>
      </c>
      <c r="L9" s="14">
        <v>599.6</v>
      </c>
      <c r="M9" s="18">
        <v>5.7</v>
      </c>
      <c r="N9" s="55">
        <v>9.5999999999999992E-3</v>
      </c>
      <c r="O9" s="17">
        <v>13.4</v>
      </c>
      <c r="P9" s="18">
        <v>14.76</v>
      </c>
      <c r="Q9" s="17">
        <v>68.5</v>
      </c>
      <c r="R9" s="19">
        <v>66.099999999999994</v>
      </c>
      <c r="S9" s="17">
        <v>3</v>
      </c>
      <c r="T9" s="13"/>
      <c r="U9" s="4">
        <f t="shared" si="0"/>
        <v>0</v>
      </c>
      <c r="V9" s="20" t="s">
        <v>38</v>
      </c>
      <c r="X9" s="11" t="s">
        <v>60</v>
      </c>
      <c r="Y9" s="13" t="s">
        <v>61</v>
      </c>
    </row>
    <row r="10" spans="1:25" x14ac:dyDescent="0.35">
      <c r="A10" s="2" t="s">
        <v>62</v>
      </c>
      <c r="B10" s="49">
        <v>44936</v>
      </c>
      <c r="C10" s="2" t="s">
        <v>31</v>
      </c>
      <c r="D10" s="4" t="s">
        <v>54</v>
      </c>
      <c r="E10" s="4" t="s">
        <v>32</v>
      </c>
      <c r="F10" s="2" t="s">
        <v>44</v>
      </c>
      <c r="G10" s="2" t="str">
        <f>_xlfn.XLOOKUP(Table2[[#This Row],[operator_id]],Operators[operator_id],Operators[operator_name])</f>
        <v>K. Fraser</v>
      </c>
      <c r="H10" s="2" t="s">
        <v>27</v>
      </c>
      <c r="I10" s="5">
        <v>1023.8</v>
      </c>
      <c r="J10" s="5">
        <v>3627.4</v>
      </c>
      <c r="K10" s="5">
        <v>593.70000000000005</v>
      </c>
      <c r="L10" s="5">
        <v>576.5</v>
      </c>
      <c r="M10" s="52">
        <v>-17.2</v>
      </c>
      <c r="N10" s="56">
        <v>-2.9000000000000001E-2</v>
      </c>
      <c r="O10" s="8">
        <v>14.6</v>
      </c>
      <c r="P10" s="9">
        <v>12.3</v>
      </c>
      <c r="Q10" s="8">
        <v>60</v>
      </c>
      <c r="R10" s="19">
        <v>58.1</v>
      </c>
      <c r="S10" s="8">
        <v>0</v>
      </c>
      <c r="T10" s="4"/>
      <c r="U10" s="4">
        <f t="shared" si="0"/>
        <v>1</v>
      </c>
      <c r="V10" s="10" t="s">
        <v>28</v>
      </c>
      <c r="X10" s="2" t="s">
        <v>63</v>
      </c>
      <c r="Y10" s="4"/>
    </row>
    <row r="11" spans="1:25" x14ac:dyDescent="0.35">
      <c r="A11" s="11" t="s">
        <v>64</v>
      </c>
      <c r="B11" s="50">
        <v>44937</v>
      </c>
      <c r="C11" s="11" t="s">
        <v>51</v>
      </c>
      <c r="D11" s="13" t="s">
        <v>24</v>
      </c>
      <c r="E11" s="13" t="s">
        <v>32</v>
      </c>
      <c r="F11" s="11" t="s">
        <v>33</v>
      </c>
      <c r="G11" s="11" t="str">
        <f>_xlfn.XLOOKUP(Table2[[#This Row],[operator_id]],Operators[operator_id],Operators[operator_name])</f>
        <v>S. Patel</v>
      </c>
      <c r="H11" s="11" t="s">
        <v>27</v>
      </c>
      <c r="I11" s="14">
        <v>951.5</v>
      </c>
      <c r="J11" s="14">
        <v>4330.3</v>
      </c>
      <c r="K11" s="14">
        <v>576.9</v>
      </c>
      <c r="L11" s="14">
        <v>527.20000000000005</v>
      </c>
      <c r="M11" s="51">
        <v>-49.7</v>
      </c>
      <c r="N11" s="57">
        <v>-8.6199999999999999E-2</v>
      </c>
      <c r="O11" s="17">
        <v>12</v>
      </c>
      <c r="P11" s="18">
        <v>11.38</v>
      </c>
      <c r="Q11" s="17">
        <v>62.2</v>
      </c>
      <c r="R11" s="17">
        <v>61.7</v>
      </c>
      <c r="S11" s="17">
        <v>0</v>
      </c>
      <c r="T11" s="13"/>
      <c r="U11" s="4">
        <f t="shared" si="0"/>
        <v>0</v>
      </c>
      <c r="V11" s="20" t="s">
        <v>38</v>
      </c>
      <c r="X11" s="11" t="s">
        <v>65</v>
      </c>
      <c r="Y11" s="13" t="s">
        <v>66</v>
      </c>
    </row>
    <row r="12" spans="1:25" x14ac:dyDescent="0.35">
      <c r="A12" s="2" t="s">
        <v>67</v>
      </c>
      <c r="B12" s="49">
        <v>44945</v>
      </c>
      <c r="C12" s="2" t="s">
        <v>23</v>
      </c>
      <c r="D12" s="4" t="s">
        <v>24</v>
      </c>
      <c r="E12" s="4" t="s">
        <v>43</v>
      </c>
      <c r="F12" s="2" t="s">
        <v>33</v>
      </c>
      <c r="G12" s="2" t="str">
        <f>_xlfn.XLOOKUP(Table2[[#This Row],[operator_id]],Operators[operator_id],Operators[operator_name])</f>
        <v>S. Patel</v>
      </c>
      <c r="H12" s="2" t="s">
        <v>34</v>
      </c>
      <c r="I12" s="5">
        <v>464.9</v>
      </c>
      <c r="J12" s="5">
        <v>2022.7</v>
      </c>
      <c r="K12" s="5">
        <v>262.5</v>
      </c>
      <c r="L12" s="5">
        <v>257.3</v>
      </c>
      <c r="M12" s="52">
        <v>-5.2</v>
      </c>
      <c r="N12" s="56">
        <v>-1.9800000000000002E-2</v>
      </c>
      <c r="O12" s="8">
        <v>8.6</v>
      </c>
      <c r="P12" s="9">
        <v>9.58</v>
      </c>
      <c r="Q12" s="8">
        <v>62</v>
      </c>
      <c r="R12" s="8">
        <v>63.4</v>
      </c>
      <c r="S12" s="8">
        <v>0</v>
      </c>
      <c r="T12" s="4"/>
      <c r="U12" s="4">
        <f t="shared" si="0"/>
        <v>1</v>
      </c>
      <c r="V12" s="10" t="s">
        <v>28</v>
      </c>
      <c r="X12" s="2" t="s">
        <v>68</v>
      </c>
      <c r="Y12" s="4"/>
    </row>
    <row r="13" spans="1:25" x14ac:dyDescent="0.35">
      <c r="A13" s="11" t="s">
        <v>69</v>
      </c>
      <c r="B13" s="50">
        <v>44951</v>
      </c>
      <c r="C13" s="11" t="s">
        <v>31</v>
      </c>
      <c r="D13" s="13" t="s">
        <v>37</v>
      </c>
      <c r="E13" s="13" t="s">
        <v>43</v>
      </c>
      <c r="F13" s="11" t="s">
        <v>26</v>
      </c>
      <c r="G13" s="11" t="str">
        <f>_xlfn.XLOOKUP(Table2[[#This Row],[operator_id]],Operators[operator_id],Operators[operator_name])</f>
        <v>M. Chen</v>
      </c>
      <c r="H13" s="11" t="s">
        <v>34</v>
      </c>
      <c r="I13" s="14">
        <v>526.79999999999995</v>
      </c>
      <c r="J13" s="14">
        <v>2306.4</v>
      </c>
      <c r="K13" s="14">
        <v>352</v>
      </c>
      <c r="L13" s="14">
        <v>359.1</v>
      </c>
      <c r="M13" s="18">
        <v>7.1</v>
      </c>
      <c r="N13" s="55">
        <v>2.0199999999999999E-2</v>
      </c>
      <c r="O13" s="17">
        <v>5.6</v>
      </c>
      <c r="P13" s="18">
        <v>5.0599999999999996</v>
      </c>
      <c r="Q13" s="17">
        <v>62.8</v>
      </c>
      <c r="R13" s="17">
        <v>62.1</v>
      </c>
      <c r="S13" s="17">
        <v>1</v>
      </c>
      <c r="T13" s="13" t="s">
        <v>70</v>
      </c>
      <c r="U13" s="4">
        <f t="shared" si="0"/>
        <v>1</v>
      </c>
      <c r="V13" s="10" t="s">
        <v>28</v>
      </c>
      <c r="X13" s="11" t="s">
        <v>71</v>
      </c>
      <c r="Y13" s="13"/>
    </row>
    <row r="14" spans="1:25" x14ac:dyDescent="0.35">
      <c r="A14" s="2" t="s">
        <v>72</v>
      </c>
      <c r="B14" s="49">
        <v>44953</v>
      </c>
      <c r="C14" s="2" t="s">
        <v>42</v>
      </c>
      <c r="D14" s="4" t="s">
        <v>24</v>
      </c>
      <c r="E14" s="4" t="s">
        <v>25</v>
      </c>
      <c r="F14" s="2" t="s">
        <v>44</v>
      </c>
      <c r="G14" s="2" t="str">
        <f>_xlfn.XLOOKUP(Table2[[#This Row],[operator_id]],Operators[operator_id],Operators[operator_name])</f>
        <v>K. Fraser</v>
      </c>
      <c r="H14" s="2" t="s">
        <v>34</v>
      </c>
      <c r="I14" s="5">
        <v>710.4</v>
      </c>
      <c r="J14" s="5">
        <v>3900.9</v>
      </c>
      <c r="K14" s="5">
        <v>506.3</v>
      </c>
      <c r="L14" s="5">
        <v>461.4</v>
      </c>
      <c r="M14" s="51">
        <v>-44.9</v>
      </c>
      <c r="N14" s="57">
        <v>-8.8700000000000001E-2</v>
      </c>
      <c r="O14" s="8">
        <v>13.3</v>
      </c>
      <c r="P14" s="9">
        <v>15.55</v>
      </c>
      <c r="Q14" s="8">
        <v>69.599999999999994</v>
      </c>
      <c r="R14" s="19">
        <v>72</v>
      </c>
      <c r="S14" s="8">
        <v>1</v>
      </c>
      <c r="T14" s="4"/>
      <c r="U14" s="4">
        <f t="shared" si="0"/>
        <v>1</v>
      </c>
      <c r="V14" s="10" t="s">
        <v>28</v>
      </c>
      <c r="X14" s="2" t="s">
        <v>73</v>
      </c>
      <c r="Y14" s="4" t="s">
        <v>66</v>
      </c>
    </row>
    <row r="15" spans="1:25" x14ac:dyDescent="0.35">
      <c r="A15" s="11" t="s">
        <v>74</v>
      </c>
      <c r="B15" s="50">
        <v>44956</v>
      </c>
      <c r="C15" s="11" t="s">
        <v>42</v>
      </c>
      <c r="D15" s="13" t="s">
        <v>75</v>
      </c>
      <c r="E15" s="13" t="s">
        <v>32</v>
      </c>
      <c r="F15" s="11" t="s">
        <v>44</v>
      </c>
      <c r="G15" s="11" t="str">
        <f>_xlfn.XLOOKUP(Table2[[#This Row],[operator_id]],Operators[operator_id],Operators[operator_name])</f>
        <v>K. Fraser</v>
      </c>
      <c r="H15" s="11" t="s">
        <v>27</v>
      </c>
      <c r="I15" s="14">
        <v>603.20000000000005</v>
      </c>
      <c r="J15" s="14">
        <v>3217.6</v>
      </c>
      <c r="K15" s="14">
        <v>345.7</v>
      </c>
      <c r="L15" s="14">
        <v>329.4</v>
      </c>
      <c r="M15" s="52">
        <v>-16.3</v>
      </c>
      <c r="N15" s="56">
        <v>-4.7199999999999999E-2</v>
      </c>
      <c r="O15" s="17">
        <v>8.9</v>
      </c>
      <c r="P15" s="18">
        <v>11.44</v>
      </c>
      <c r="Q15" s="17">
        <v>63.8</v>
      </c>
      <c r="R15" s="17">
        <v>64.099999999999994</v>
      </c>
      <c r="S15" s="17">
        <v>0</v>
      </c>
      <c r="T15" s="13"/>
      <c r="U15" s="4">
        <f t="shared" si="0"/>
        <v>1</v>
      </c>
      <c r="V15" s="10" t="s">
        <v>28</v>
      </c>
      <c r="X15" s="11" t="s">
        <v>76</v>
      </c>
      <c r="Y15" s="13"/>
    </row>
    <row r="16" spans="1:25" x14ac:dyDescent="0.35">
      <c r="A16" s="2" t="s">
        <v>77</v>
      </c>
      <c r="B16" s="49">
        <v>44957</v>
      </c>
      <c r="C16" s="2" t="s">
        <v>42</v>
      </c>
      <c r="D16" s="4" t="s">
        <v>54</v>
      </c>
      <c r="E16" s="4" t="s">
        <v>25</v>
      </c>
      <c r="F16" s="2" t="s">
        <v>44</v>
      </c>
      <c r="G16" s="2" t="str">
        <f>_xlfn.XLOOKUP(Table2[[#This Row],[operator_id]],Operators[operator_id],Operators[operator_name])</f>
        <v>K. Fraser</v>
      </c>
      <c r="H16" s="2" t="s">
        <v>34</v>
      </c>
      <c r="I16" s="5">
        <v>982.4</v>
      </c>
      <c r="J16" s="5">
        <v>4151.1000000000004</v>
      </c>
      <c r="K16" s="5">
        <v>685</v>
      </c>
      <c r="L16" s="5">
        <v>664.3</v>
      </c>
      <c r="M16" s="52">
        <v>-20.7</v>
      </c>
      <c r="N16" s="56">
        <v>-3.0200000000000001E-2</v>
      </c>
      <c r="O16" s="8">
        <v>5.4</v>
      </c>
      <c r="P16" s="9">
        <v>7.26</v>
      </c>
      <c r="Q16" s="8">
        <v>69</v>
      </c>
      <c r="R16" s="8">
        <v>69.7</v>
      </c>
      <c r="S16" s="8">
        <v>0</v>
      </c>
      <c r="T16" s="4"/>
      <c r="U16" s="4">
        <f t="shared" si="0"/>
        <v>1</v>
      </c>
      <c r="V16" s="10" t="s">
        <v>28</v>
      </c>
      <c r="X16" s="2" t="s">
        <v>78</v>
      </c>
      <c r="Y16" s="4"/>
    </row>
    <row r="17" spans="1:25" x14ac:dyDescent="0.35">
      <c r="A17" s="11" t="s">
        <v>79</v>
      </c>
      <c r="B17" s="50">
        <v>44958</v>
      </c>
      <c r="C17" s="11" t="s">
        <v>31</v>
      </c>
      <c r="D17" s="13" t="s">
        <v>54</v>
      </c>
      <c r="E17" s="13" t="s">
        <v>43</v>
      </c>
      <c r="F17" s="11" t="s">
        <v>55</v>
      </c>
      <c r="G17" s="11" t="str">
        <f>_xlfn.XLOOKUP(Table2[[#This Row],[operator_id]],Operators[operator_id],Operators[operator_name])</f>
        <v>T. Dinesh</v>
      </c>
      <c r="H17" s="11" t="s">
        <v>34</v>
      </c>
      <c r="I17" s="14">
        <v>542</v>
      </c>
      <c r="J17" s="14">
        <v>2434.3000000000002</v>
      </c>
      <c r="K17" s="14">
        <v>332.1</v>
      </c>
      <c r="L17" s="14">
        <v>350.3</v>
      </c>
      <c r="M17" s="18">
        <v>18.2</v>
      </c>
      <c r="N17" s="55">
        <v>5.4800000000000001E-2</v>
      </c>
      <c r="O17" s="17">
        <v>6.6</v>
      </c>
      <c r="P17" s="18">
        <v>6</v>
      </c>
      <c r="Q17" s="17">
        <v>63.9</v>
      </c>
      <c r="R17" s="19">
        <v>65.5</v>
      </c>
      <c r="S17" s="17">
        <v>0</v>
      </c>
      <c r="T17" s="13"/>
      <c r="U17" s="4">
        <f t="shared" si="0"/>
        <v>1</v>
      </c>
      <c r="V17" s="10" t="s">
        <v>28</v>
      </c>
      <c r="X17" s="11" t="s">
        <v>80</v>
      </c>
      <c r="Y17" s="13"/>
    </row>
    <row r="18" spans="1:25" x14ac:dyDescent="0.35">
      <c r="A18" s="2" t="s">
        <v>81</v>
      </c>
      <c r="B18" s="49">
        <v>44958</v>
      </c>
      <c r="C18" s="2" t="s">
        <v>42</v>
      </c>
      <c r="D18" s="4" t="s">
        <v>37</v>
      </c>
      <c r="E18" s="4" t="s">
        <v>32</v>
      </c>
      <c r="F18" s="2" t="s">
        <v>44</v>
      </c>
      <c r="G18" s="2" t="str">
        <f>_xlfn.XLOOKUP(Table2[[#This Row],[operator_id]],Operators[operator_id],Operators[operator_name])</f>
        <v>K. Fraser</v>
      </c>
      <c r="H18" s="2" t="s">
        <v>27</v>
      </c>
      <c r="I18" s="5">
        <v>917.5</v>
      </c>
      <c r="J18" s="5">
        <v>3783.1</v>
      </c>
      <c r="K18" s="5">
        <v>659.7</v>
      </c>
      <c r="L18" s="5">
        <v>677.6</v>
      </c>
      <c r="M18" s="9">
        <v>17.899999999999999</v>
      </c>
      <c r="N18" s="54">
        <v>2.7099999999999999E-2</v>
      </c>
      <c r="O18" s="8">
        <v>17.899999999999999</v>
      </c>
      <c r="P18" s="9">
        <v>23.69</v>
      </c>
      <c r="Q18" s="8">
        <v>60.2</v>
      </c>
      <c r="R18" s="8">
        <v>59.7</v>
      </c>
      <c r="S18" s="8">
        <v>5</v>
      </c>
      <c r="T18" s="4" t="s">
        <v>70</v>
      </c>
      <c r="U18" s="4">
        <f t="shared" si="0"/>
        <v>1</v>
      </c>
      <c r="V18" s="10" t="s">
        <v>28</v>
      </c>
      <c r="X18" s="2" t="s">
        <v>82</v>
      </c>
      <c r="Y18" s="4" t="s">
        <v>40</v>
      </c>
    </row>
    <row r="19" spans="1:25" x14ac:dyDescent="0.35">
      <c r="A19" s="11" t="s">
        <v>83</v>
      </c>
      <c r="B19" s="50">
        <v>44960</v>
      </c>
      <c r="C19" s="11" t="s">
        <v>51</v>
      </c>
      <c r="D19" s="13" t="s">
        <v>54</v>
      </c>
      <c r="E19" s="13" t="s">
        <v>25</v>
      </c>
      <c r="F19" s="11" t="s">
        <v>59</v>
      </c>
      <c r="G19" s="11" t="str">
        <f>_xlfn.XLOOKUP(Table2[[#This Row],[operator_id]],Operators[operator_id],Operators[operator_name])</f>
        <v>R. Osei</v>
      </c>
      <c r="H19" s="11" t="s">
        <v>27</v>
      </c>
      <c r="I19" s="14">
        <v>995.2</v>
      </c>
      <c r="J19" s="14">
        <v>4670.3</v>
      </c>
      <c r="K19" s="14">
        <v>600.9</v>
      </c>
      <c r="L19" s="14">
        <v>597.70000000000005</v>
      </c>
      <c r="M19" s="52">
        <v>-3.2</v>
      </c>
      <c r="N19" s="56">
        <v>-5.3E-3</v>
      </c>
      <c r="O19" s="17">
        <v>8.1999999999999993</v>
      </c>
      <c r="P19" s="18">
        <v>8.7899999999999991</v>
      </c>
      <c r="Q19" s="17">
        <v>62.3</v>
      </c>
      <c r="R19" s="17">
        <v>61.6</v>
      </c>
      <c r="S19" s="17">
        <v>0</v>
      </c>
      <c r="T19" s="13"/>
      <c r="U19" s="4">
        <f t="shared" si="0"/>
        <v>1</v>
      </c>
      <c r="V19" s="10" t="s">
        <v>28</v>
      </c>
      <c r="X19" s="11" t="s">
        <v>84</v>
      </c>
      <c r="Y19" s="13"/>
    </row>
    <row r="20" spans="1:25" x14ac:dyDescent="0.35">
      <c r="A20" s="2" t="s">
        <v>85</v>
      </c>
      <c r="B20" s="49">
        <v>44961</v>
      </c>
      <c r="C20" s="2" t="s">
        <v>31</v>
      </c>
      <c r="D20" s="4" t="s">
        <v>37</v>
      </c>
      <c r="E20" s="4" t="s">
        <v>32</v>
      </c>
      <c r="F20" s="2" t="s">
        <v>26</v>
      </c>
      <c r="G20" s="2" t="str">
        <f>_xlfn.XLOOKUP(Table2[[#This Row],[operator_id]],Operators[operator_id],Operators[operator_name])</f>
        <v>M. Chen</v>
      </c>
      <c r="H20" s="2" t="s">
        <v>27</v>
      </c>
      <c r="I20" s="5">
        <v>908.1</v>
      </c>
      <c r="J20" s="5">
        <v>4192.8999999999996</v>
      </c>
      <c r="K20" s="5">
        <v>532.20000000000005</v>
      </c>
      <c r="L20" s="5">
        <v>526.70000000000005</v>
      </c>
      <c r="M20" s="52">
        <v>-5.5</v>
      </c>
      <c r="N20" s="56">
        <v>-1.03E-2</v>
      </c>
      <c r="O20" s="8">
        <v>7.3</v>
      </c>
      <c r="P20" s="9">
        <v>8.8800000000000008</v>
      </c>
      <c r="Q20" s="8">
        <v>66.7</v>
      </c>
      <c r="R20" s="8">
        <v>66.400000000000006</v>
      </c>
      <c r="S20" s="8">
        <v>3</v>
      </c>
      <c r="T20" s="4" t="s">
        <v>86</v>
      </c>
      <c r="U20" s="4">
        <f t="shared" si="0"/>
        <v>1</v>
      </c>
      <c r="V20" s="10" t="s">
        <v>28</v>
      </c>
      <c r="X20" s="2" t="s">
        <v>87</v>
      </c>
      <c r="Y20" s="4" t="s">
        <v>40</v>
      </c>
    </row>
    <row r="21" spans="1:25" x14ac:dyDescent="0.35">
      <c r="A21" s="11" t="s">
        <v>88</v>
      </c>
      <c r="B21" s="50">
        <v>44962</v>
      </c>
      <c r="C21" s="11" t="s">
        <v>42</v>
      </c>
      <c r="D21" s="13" t="s">
        <v>54</v>
      </c>
      <c r="E21" s="13" t="s">
        <v>89</v>
      </c>
      <c r="F21" s="11" t="s">
        <v>59</v>
      </c>
      <c r="G21" s="11" t="str">
        <f>_xlfn.XLOOKUP(Table2[[#This Row],[operator_id]],Operators[operator_id],Operators[operator_name])</f>
        <v>R. Osei</v>
      </c>
      <c r="H21" s="11" t="s">
        <v>34</v>
      </c>
      <c r="I21" s="14">
        <v>826.6</v>
      </c>
      <c r="J21" s="14">
        <v>4430.3</v>
      </c>
      <c r="K21" s="14">
        <v>490.7</v>
      </c>
      <c r="L21" s="14">
        <v>515.5</v>
      </c>
      <c r="M21" s="18">
        <v>24.8</v>
      </c>
      <c r="N21" s="55">
        <v>5.0500000000000003E-2</v>
      </c>
      <c r="O21" s="17">
        <v>13.2</v>
      </c>
      <c r="P21" s="18">
        <v>15.4</v>
      </c>
      <c r="Q21" s="17">
        <v>62.8</v>
      </c>
      <c r="R21" s="17">
        <v>63.7</v>
      </c>
      <c r="S21" s="17">
        <v>2</v>
      </c>
      <c r="T21" s="13"/>
      <c r="U21" s="4">
        <f t="shared" si="0"/>
        <v>1</v>
      </c>
      <c r="V21" s="10" t="s">
        <v>28</v>
      </c>
      <c r="X21" s="11" t="s">
        <v>90</v>
      </c>
      <c r="Y21" s="13"/>
    </row>
    <row r="22" spans="1:25" x14ac:dyDescent="0.35">
      <c r="A22" s="2" t="s">
        <v>91</v>
      </c>
      <c r="B22" s="49">
        <v>44962</v>
      </c>
      <c r="C22" s="2" t="s">
        <v>31</v>
      </c>
      <c r="D22" s="4" t="s">
        <v>92</v>
      </c>
      <c r="E22" s="4" t="s">
        <v>43</v>
      </c>
      <c r="F22" s="2" t="s">
        <v>44</v>
      </c>
      <c r="G22" s="2" t="str">
        <f>_xlfn.XLOOKUP(Table2[[#This Row],[operator_id]],Operators[operator_id],Operators[operator_name])</f>
        <v>K. Fraser</v>
      </c>
      <c r="H22" s="2" t="s">
        <v>34</v>
      </c>
      <c r="I22" s="5">
        <v>534.29999999999995</v>
      </c>
      <c r="J22" s="5">
        <v>1891.6</v>
      </c>
      <c r="K22" s="5">
        <v>379.2</v>
      </c>
      <c r="L22" s="5">
        <v>384.6</v>
      </c>
      <c r="M22" s="9">
        <v>5.4</v>
      </c>
      <c r="N22" s="54">
        <v>1.4200000000000001E-2</v>
      </c>
      <c r="O22" s="8">
        <v>5.6</v>
      </c>
      <c r="P22" s="9">
        <v>7.14</v>
      </c>
      <c r="Q22" s="8">
        <v>64.5</v>
      </c>
      <c r="R22" s="8">
        <v>65.400000000000006</v>
      </c>
      <c r="S22" s="8">
        <v>1</v>
      </c>
      <c r="T22" s="4"/>
      <c r="U22" s="4">
        <f t="shared" si="0"/>
        <v>1</v>
      </c>
      <c r="V22" s="10" t="s">
        <v>28</v>
      </c>
      <c r="X22" s="2" t="s">
        <v>93</v>
      </c>
      <c r="Y22" s="4"/>
    </row>
    <row r="23" spans="1:25" x14ac:dyDescent="0.35">
      <c r="A23" s="11" t="s">
        <v>94</v>
      </c>
      <c r="B23" s="50">
        <v>44963</v>
      </c>
      <c r="C23" s="11" t="s">
        <v>42</v>
      </c>
      <c r="D23" s="13" t="s">
        <v>75</v>
      </c>
      <c r="E23" s="13" t="s">
        <v>25</v>
      </c>
      <c r="F23" s="11" t="s">
        <v>59</v>
      </c>
      <c r="G23" s="11" t="str">
        <f>_xlfn.XLOOKUP(Table2[[#This Row],[operator_id]],Operators[operator_id],Operators[operator_name])</f>
        <v>R. Osei</v>
      </c>
      <c r="H23" s="11" t="s">
        <v>34</v>
      </c>
      <c r="I23" s="14">
        <v>506.1</v>
      </c>
      <c r="J23" s="14">
        <v>1927.8</v>
      </c>
      <c r="K23" s="14">
        <v>345.5</v>
      </c>
      <c r="L23" s="14">
        <v>353.3</v>
      </c>
      <c r="M23" s="18">
        <v>7.8</v>
      </c>
      <c r="N23" s="55">
        <v>2.2599999999999999E-2</v>
      </c>
      <c r="O23" s="17">
        <v>17.399999999999999</v>
      </c>
      <c r="P23" s="18">
        <v>17.5</v>
      </c>
      <c r="Q23" s="17">
        <v>66.7</v>
      </c>
      <c r="R23" s="17">
        <v>65.2</v>
      </c>
      <c r="S23" s="17">
        <v>0</v>
      </c>
      <c r="T23" s="13"/>
      <c r="U23" s="4">
        <f t="shared" si="0"/>
        <v>1</v>
      </c>
      <c r="V23" s="10" t="s">
        <v>28</v>
      </c>
      <c r="X23" s="11" t="s">
        <v>95</v>
      </c>
      <c r="Y23" s="13"/>
    </row>
    <row r="24" spans="1:25" x14ac:dyDescent="0.35">
      <c r="A24" s="2" t="s">
        <v>96</v>
      </c>
      <c r="B24" s="49">
        <v>44963</v>
      </c>
      <c r="C24" s="2" t="s">
        <v>97</v>
      </c>
      <c r="D24" s="4" t="s">
        <v>37</v>
      </c>
      <c r="E24" s="4" t="s">
        <v>32</v>
      </c>
      <c r="F24" s="2" t="s">
        <v>44</v>
      </c>
      <c r="G24" s="2" t="str">
        <f>_xlfn.XLOOKUP(Table2[[#This Row],[operator_id]],Operators[operator_id],Operators[operator_name])</f>
        <v>K. Fraser</v>
      </c>
      <c r="H24" s="2" t="s">
        <v>34</v>
      </c>
      <c r="I24" s="5">
        <v>913.9</v>
      </c>
      <c r="J24" s="5">
        <v>4189.8</v>
      </c>
      <c r="K24" s="5">
        <v>544.5</v>
      </c>
      <c r="L24" s="5">
        <v>574</v>
      </c>
      <c r="M24" s="9">
        <v>29.5</v>
      </c>
      <c r="N24" s="54">
        <v>5.4199999999999998E-2</v>
      </c>
      <c r="O24" s="8">
        <v>12.8</v>
      </c>
      <c r="P24" s="9">
        <v>14.86</v>
      </c>
      <c r="Q24" s="8">
        <v>61.6</v>
      </c>
      <c r="R24" s="19">
        <v>59.3</v>
      </c>
      <c r="S24" s="8">
        <v>0</v>
      </c>
      <c r="T24" s="4"/>
      <c r="U24" s="4">
        <f t="shared" si="0"/>
        <v>0</v>
      </c>
      <c r="V24" s="20" t="s">
        <v>38</v>
      </c>
      <c r="X24" s="2" t="s">
        <v>98</v>
      </c>
      <c r="Y24" s="4" t="s">
        <v>61</v>
      </c>
    </row>
    <row r="25" spans="1:25" x14ac:dyDescent="0.35">
      <c r="A25" s="11" t="s">
        <v>99</v>
      </c>
      <c r="B25" s="50">
        <v>44964</v>
      </c>
      <c r="C25" s="11" t="s">
        <v>97</v>
      </c>
      <c r="D25" s="13" t="s">
        <v>54</v>
      </c>
      <c r="E25" s="13" t="s">
        <v>48</v>
      </c>
      <c r="F25" s="11" t="s">
        <v>26</v>
      </c>
      <c r="G25" s="11" t="str">
        <f>_xlfn.XLOOKUP(Table2[[#This Row],[operator_id]],Operators[operator_id],Operators[operator_name])</f>
        <v>M. Chen</v>
      </c>
      <c r="H25" s="11" t="s">
        <v>34</v>
      </c>
      <c r="I25" s="14">
        <v>796.6</v>
      </c>
      <c r="J25" s="14">
        <v>2942.7</v>
      </c>
      <c r="K25" s="14">
        <v>523.20000000000005</v>
      </c>
      <c r="L25" s="14">
        <v>550.29999999999995</v>
      </c>
      <c r="M25" s="18">
        <v>27.1</v>
      </c>
      <c r="N25" s="55">
        <v>5.1799999999999999E-2</v>
      </c>
      <c r="O25" s="17">
        <v>8.4</v>
      </c>
      <c r="P25" s="18">
        <v>11.38</v>
      </c>
      <c r="Q25" s="17">
        <v>66.599999999999994</v>
      </c>
      <c r="R25" s="19">
        <v>65</v>
      </c>
      <c r="S25" s="17">
        <v>3</v>
      </c>
      <c r="T25" s="13" t="s">
        <v>100</v>
      </c>
      <c r="U25" s="4">
        <f t="shared" si="0"/>
        <v>1</v>
      </c>
      <c r="V25" s="10" t="s">
        <v>28</v>
      </c>
      <c r="X25" s="11" t="s">
        <v>101</v>
      </c>
      <c r="Y25" s="13" t="s">
        <v>40</v>
      </c>
    </row>
    <row r="26" spans="1:25" x14ac:dyDescent="0.35">
      <c r="A26" s="2" t="s">
        <v>102</v>
      </c>
      <c r="B26" s="49">
        <v>44964</v>
      </c>
      <c r="C26" s="2" t="s">
        <v>23</v>
      </c>
      <c r="D26" s="4" t="s">
        <v>24</v>
      </c>
      <c r="E26" s="4" t="s">
        <v>43</v>
      </c>
      <c r="F26" s="2" t="s">
        <v>33</v>
      </c>
      <c r="G26" s="2" t="str">
        <f>_xlfn.XLOOKUP(Table2[[#This Row],[operator_id]],Operators[operator_id],Operators[operator_name])</f>
        <v>S. Patel</v>
      </c>
      <c r="H26" s="2" t="s">
        <v>34</v>
      </c>
      <c r="I26" s="5">
        <v>1095.5</v>
      </c>
      <c r="J26" s="5">
        <v>5859.4</v>
      </c>
      <c r="K26" s="5">
        <v>754.1</v>
      </c>
      <c r="L26" s="5">
        <v>772.8</v>
      </c>
      <c r="M26" s="9">
        <v>18.7</v>
      </c>
      <c r="N26" s="54">
        <v>2.4799999999999999E-2</v>
      </c>
      <c r="O26" s="8">
        <v>8.4</v>
      </c>
      <c r="P26" s="9">
        <v>9.9499999999999993</v>
      </c>
      <c r="Q26" s="8">
        <v>67.2</v>
      </c>
      <c r="R26" s="19">
        <v>68.8</v>
      </c>
      <c r="S26" s="8">
        <v>0</v>
      </c>
      <c r="T26" s="4"/>
      <c r="U26" s="4">
        <f t="shared" si="0"/>
        <v>0</v>
      </c>
      <c r="V26" s="20" t="s">
        <v>38</v>
      </c>
      <c r="X26" s="2" t="s">
        <v>103</v>
      </c>
      <c r="Y26" s="4"/>
    </row>
    <row r="27" spans="1:25" x14ac:dyDescent="0.35">
      <c r="A27" s="11" t="s">
        <v>104</v>
      </c>
      <c r="B27" s="50">
        <v>44965</v>
      </c>
      <c r="C27" s="11" t="s">
        <v>23</v>
      </c>
      <c r="D27" s="13" t="s">
        <v>24</v>
      </c>
      <c r="E27" s="13" t="s">
        <v>105</v>
      </c>
      <c r="F27" s="11" t="s">
        <v>59</v>
      </c>
      <c r="G27" s="11" t="str">
        <f>_xlfn.XLOOKUP(Table2[[#This Row],[operator_id]],Operators[operator_id],Operators[operator_name])</f>
        <v>R. Osei</v>
      </c>
      <c r="H27" s="11" t="s">
        <v>34</v>
      </c>
      <c r="I27" s="14">
        <v>1023.4</v>
      </c>
      <c r="J27" s="14">
        <v>3938.3</v>
      </c>
      <c r="K27" s="14">
        <v>629.9</v>
      </c>
      <c r="L27" s="14">
        <v>549.6</v>
      </c>
      <c r="M27" s="51">
        <v>-80.3</v>
      </c>
      <c r="N27" s="57">
        <v>-0.1275</v>
      </c>
      <c r="O27" s="17">
        <v>6.7</v>
      </c>
      <c r="P27" s="18">
        <v>7.22</v>
      </c>
      <c r="Q27" s="17">
        <v>69.2</v>
      </c>
      <c r="R27" s="17">
        <v>68.5</v>
      </c>
      <c r="S27" s="17">
        <v>5</v>
      </c>
      <c r="T27" s="13" t="s">
        <v>100</v>
      </c>
      <c r="U27" s="4">
        <f t="shared" si="0"/>
        <v>0</v>
      </c>
      <c r="V27" s="20" t="s">
        <v>38</v>
      </c>
      <c r="X27" s="11" t="s">
        <v>106</v>
      </c>
      <c r="Y27" s="13" t="s">
        <v>66</v>
      </c>
    </row>
    <row r="28" spans="1:25" x14ac:dyDescent="0.35">
      <c r="A28" s="2" t="s">
        <v>107</v>
      </c>
      <c r="B28" s="49">
        <v>44965</v>
      </c>
      <c r="C28" s="2" t="s">
        <v>42</v>
      </c>
      <c r="D28" s="4" t="s">
        <v>75</v>
      </c>
      <c r="E28" s="4" t="s">
        <v>48</v>
      </c>
      <c r="F28" s="2" t="s">
        <v>33</v>
      </c>
      <c r="G28" s="2" t="str">
        <f>_xlfn.XLOOKUP(Table2[[#This Row],[operator_id]],Operators[operator_id],Operators[operator_name])</f>
        <v>S. Patel</v>
      </c>
      <c r="H28" s="2" t="s">
        <v>27</v>
      </c>
      <c r="I28" s="5">
        <v>627.4</v>
      </c>
      <c r="J28" s="5">
        <v>2548.1999999999998</v>
      </c>
      <c r="K28" s="5">
        <v>347.2</v>
      </c>
      <c r="L28" s="5">
        <v>349.3</v>
      </c>
      <c r="M28" s="9">
        <v>2.1</v>
      </c>
      <c r="N28" s="54">
        <v>6.0000000000000001E-3</v>
      </c>
      <c r="O28" s="8">
        <v>14.8</v>
      </c>
      <c r="P28" s="9">
        <v>18.670000000000002</v>
      </c>
      <c r="Q28" s="8">
        <v>61.5</v>
      </c>
      <c r="R28" s="8">
        <v>61.3</v>
      </c>
      <c r="S28" s="8">
        <v>0.5</v>
      </c>
      <c r="T28" s="4" t="s">
        <v>70</v>
      </c>
      <c r="U28" s="4">
        <f t="shared" si="0"/>
        <v>1</v>
      </c>
      <c r="V28" s="10" t="s">
        <v>28</v>
      </c>
      <c r="X28" s="2" t="s">
        <v>108</v>
      </c>
      <c r="Y28" s="4"/>
    </row>
    <row r="29" spans="1:25" x14ac:dyDescent="0.35">
      <c r="A29" s="11" t="s">
        <v>109</v>
      </c>
      <c r="B29" s="50">
        <v>44967</v>
      </c>
      <c r="C29" s="11" t="s">
        <v>31</v>
      </c>
      <c r="D29" s="13" t="s">
        <v>54</v>
      </c>
      <c r="E29" s="13" t="s">
        <v>43</v>
      </c>
      <c r="F29" s="11" t="s">
        <v>55</v>
      </c>
      <c r="G29" s="11" t="str">
        <f>_xlfn.XLOOKUP(Table2[[#This Row],[operator_id]],Operators[operator_id],Operators[operator_name])</f>
        <v>T. Dinesh</v>
      </c>
      <c r="H29" s="11" t="s">
        <v>27</v>
      </c>
      <c r="I29" s="14">
        <v>1040.9000000000001</v>
      </c>
      <c r="J29" s="14">
        <v>5631.5</v>
      </c>
      <c r="K29" s="14">
        <v>699</v>
      </c>
      <c r="L29" s="14">
        <v>709.3</v>
      </c>
      <c r="M29" s="18">
        <v>10.3</v>
      </c>
      <c r="N29" s="55">
        <v>1.47E-2</v>
      </c>
      <c r="O29" s="17">
        <v>11.6</v>
      </c>
      <c r="P29" s="18">
        <v>10.68</v>
      </c>
      <c r="Q29" s="17">
        <v>61.9</v>
      </c>
      <c r="R29" s="17">
        <v>60.7</v>
      </c>
      <c r="S29" s="17">
        <v>0</v>
      </c>
      <c r="T29" s="13"/>
      <c r="U29" s="4">
        <f t="shared" si="0"/>
        <v>1</v>
      </c>
      <c r="V29" s="10" t="s">
        <v>28</v>
      </c>
      <c r="X29" s="11" t="s">
        <v>110</v>
      </c>
      <c r="Y29" s="13"/>
    </row>
    <row r="30" spans="1:25" x14ac:dyDescent="0.35">
      <c r="A30" s="2" t="s">
        <v>111</v>
      </c>
      <c r="B30" s="49">
        <v>44968</v>
      </c>
      <c r="C30" s="2" t="s">
        <v>42</v>
      </c>
      <c r="D30" s="4" t="s">
        <v>92</v>
      </c>
      <c r="E30" s="4" t="s">
        <v>89</v>
      </c>
      <c r="F30" s="2" t="s">
        <v>33</v>
      </c>
      <c r="G30" s="2" t="str">
        <f>_xlfn.XLOOKUP(Table2[[#This Row],[operator_id]],Operators[operator_id],Operators[operator_name])</f>
        <v>S. Patel</v>
      </c>
      <c r="H30" s="2" t="s">
        <v>34</v>
      </c>
      <c r="I30" s="5">
        <v>782.8</v>
      </c>
      <c r="J30" s="5">
        <v>3072.6</v>
      </c>
      <c r="K30" s="5">
        <v>558.29999999999995</v>
      </c>
      <c r="L30" s="5">
        <v>565.29999999999995</v>
      </c>
      <c r="M30" s="9">
        <v>7</v>
      </c>
      <c r="N30" s="54">
        <v>1.2500000000000001E-2</v>
      </c>
      <c r="O30" s="8">
        <v>6.3</v>
      </c>
      <c r="P30" s="9">
        <v>7.65</v>
      </c>
      <c r="Q30" s="8">
        <v>66.7</v>
      </c>
      <c r="R30" s="8">
        <v>67.3</v>
      </c>
      <c r="S30" s="8">
        <v>0</v>
      </c>
      <c r="T30" s="4"/>
      <c r="U30" s="4">
        <f t="shared" si="0"/>
        <v>1</v>
      </c>
      <c r="V30" s="10" t="s">
        <v>28</v>
      </c>
      <c r="X30" s="2" t="s">
        <v>112</v>
      </c>
      <c r="Y30" s="4"/>
    </row>
    <row r="31" spans="1:25" x14ac:dyDescent="0.35">
      <c r="A31" s="11" t="s">
        <v>113</v>
      </c>
      <c r="B31" s="50">
        <v>44970</v>
      </c>
      <c r="C31" s="11" t="s">
        <v>31</v>
      </c>
      <c r="D31" s="13" t="s">
        <v>54</v>
      </c>
      <c r="E31" s="13" t="s">
        <v>105</v>
      </c>
      <c r="F31" s="11" t="s">
        <v>59</v>
      </c>
      <c r="G31" s="11" t="str">
        <f>_xlfn.XLOOKUP(Table2[[#This Row],[operator_id]],Operators[operator_id],Operators[operator_name])</f>
        <v>R. Osei</v>
      </c>
      <c r="H31" s="11" t="s">
        <v>27</v>
      </c>
      <c r="I31" s="14">
        <v>459.3</v>
      </c>
      <c r="J31" s="14">
        <v>2264.8000000000002</v>
      </c>
      <c r="K31" s="14">
        <v>326.60000000000002</v>
      </c>
      <c r="L31" s="14">
        <v>333.4</v>
      </c>
      <c r="M31" s="18">
        <v>6.8</v>
      </c>
      <c r="N31" s="55">
        <v>2.0799999999999999E-2</v>
      </c>
      <c r="O31" s="17">
        <v>15.9</v>
      </c>
      <c r="P31" s="18">
        <v>19.28</v>
      </c>
      <c r="Q31" s="17">
        <v>69.099999999999994</v>
      </c>
      <c r="R31" s="17">
        <v>69</v>
      </c>
      <c r="S31" s="17">
        <v>0</v>
      </c>
      <c r="T31" s="13"/>
      <c r="U31" s="4">
        <f t="shared" si="0"/>
        <v>1</v>
      </c>
      <c r="V31" s="10" t="s">
        <v>28</v>
      </c>
      <c r="X31" s="11" t="s">
        <v>114</v>
      </c>
      <c r="Y31" s="13"/>
    </row>
    <row r="32" spans="1:25" x14ac:dyDescent="0.35">
      <c r="A32" s="2" t="s">
        <v>115</v>
      </c>
      <c r="B32" s="49">
        <v>44972</v>
      </c>
      <c r="C32" s="2" t="s">
        <v>42</v>
      </c>
      <c r="D32" s="4" t="s">
        <v>24</v>
      </c>
      <c r="E32" s="4" t="s">
        <v>48</v>
      </c>
      <c r="F32" s="2" t="s">
        <v>55</v>
      </c>
      <c r="G32" s="2" t="str">
        <f>_xlfn.XLOOKUP(Table2[[#This Row],[operator_id]],Operators[operator_id],Operators[operator_name])</f>
        <v>T. Dinesh</v>
      </c>
      <c r="H32" s="2" t="s">
        <v>27</v>
      </c>
      <c r="I32" s="5">
        <v>638.20000000000005</v>
      </c>
      <c r="J32" s="5">
        <v>2661</v>
      </c>
      <c r="K32" s="5">
        <v>355.7</v>
      </c>
      <c r="L32" s="5">
        <v>353</v>
      </c>
      <c r="M32" s="52">
        <v>-2.7</v>
      </c>
      <c r="N32" s="56">
        <v>-7.6E-3</v>
      </c>
      <c r="O32" s="8">
        <v>11.6</v>
      </c>
      <c r="P32" s="9">
        <v>11.71</v>
      </c>
      <c r="Q32" s="8">
        <v>63.5</v>
      </c>
      <c r="R32" s="19">
        <v>61.2</v>
      </c>
      <c r="S32" s="8">
        <v>0</v>
      </c>
      <c r="T32" s="4"/>
      <c r="U32" s="4">
        <f t="shared" si="0"/>
        <v>1</v>
      </c>
      <c r="V32" s="10" t="s">
        <v>28</v>
      </c>
      <c r="X32" s="2" t="s">
        <v>116</v>
      </c>
      <c r="Y32" s="4" t="s">
        <v>61</v>
      </c>
    </row>
    <row r="33" spans="1:25" x14ac:dyDescent="0.35">
      <c r="A33" s="11" t="s">
        <v>117</v>
      </c>
      <c r="B33" s="50">
        <v>44973</v>
      </c>
      <c r="C33" s="11" t="s">
        <v>31</v>
      </c>
      <c r="D33" s="13" t="s">
        <v>24</v>
      </c>
      <c r="E33" s="13" t="s">
        <v>25</v>
      </c>
      <c r="F33" s="11" t="s">
        <v>26</v>
      </c>
      <c r="G33" s="11" t="str">
        <f>_xlfn.XLOOKUP(Table2[[#This Row],[operator_id]],Operators[operator_id],Operators[operator_name])</f>
        <v>M. Chen</v>
      </c>
      <c r="H33" s="11" t="s">
        <v>34</v>
      </c>
      <c r="I33" s="14">
        <v>907.1</v>
      </c>
      <c r="J33" s="14">
        <v>4447.5</v>
      </c>
      <c r="K33" s="14">
        <v>615.1</v>
      </c>
      <c r="L33" s="14">
        <v>644.5</v>
      </c>
      <c r="M33" s="18">
        <v>29.4</v>
      </c>
      <c r="N33" s="55">
        <v>4.7800000000000002E-2</v>
      </c>
      <c r="O33" s="17">
        <v>11.4</v>
      </c>
      <c r="P33" s="18">
        <v>13.24</v>
      </c>
      <c r="Q33" s="17">
        <v>64.5</v>
      </c>
      <c r="R33" s="17">
        <v>65.900000000000006</v>
      </c>
      <c r="S33" s="17">
        <v>0</v>
      </c>
      <c r="T33" s="13"/>
      <c r="U33" s="4">
        <f t="shared" si="0"/>
        <v>1</v>
      </c>
      <c r="V33" s="10" t="s">
        <v>28</v>
      </c>
      <c r="X33" s="11" t="s">
        <v>118</v>
      </c>
      <c r="Y33" s="13"/>
    </row>
    <row r="34" spans="1:25" x14ac:dyDescent="0.35">
      <c r="A34" s="2" t="s">
        <v>119</v>
      </c>
      <c r="B34" s="49">
        <v>44975</v>
      </c>
      <c r="C34" s="2" t="s">
        <v>97</v>
      </c>
      <c r="D34" s="4" t="s">
        <v>54</v>
      </c>
      <c r="E34" s="4" t="s">
        <v>32</v>
      </c>
      <c r="F34" s="2" t="s">
        <v>55</v>
      </c>
      <c r="G34" s="2" t="str">
        <f>_xlfn.XLOOKUP(Table2[[#This Row],[operator_id]],Operators[operator_id],Operators[operator_name])</f>
        <v>T. Dinesh</v>
      </c>
      <c r="H34" s="2" t="s">
        <v>27</v>
      </c>
      <c r="I34" s="5">
        <v>632.1</v>
      </c>
      <c r="J34" s="5">
        <v>3154.4</v>
      </c>
      <c r="K34" s="5">
        <v>420.3</v>
      </c>
      <c r="L34" s="5">
        <v>424.6</v>
      </c>
      <c r="M34" s="9">
        <v>4.3</v>
      </c>
      <c r="N34" s="54">
        <v>1.0200000000000001E-2</v>
      </c>
      <c r="O34" s="8">
        <v>10.7</v>
      </c>
      <c r="P34" s="9">
        <v>11.82</v>
      </c>
      <c r="Q34" s="8">
        <v>69.5</v>
      </c>
      <c r="R34" s="19">
        <v>67.099999999999994</v>
      </c>
      <c r="S34" s="8">
        <v>1</v>
      </c>
      <c r="T34" s="4" t="s">
        <v>100</v>
      </c>
      <c r="U34" s="4">
        <f t="shared" si="0"/>
        <v>1</v>
      </c>
      <c r="V34" s="10" t="s">
        <v>28</v>
      </c>
      <c r="X34" s="2" t="s">
        <v>120</v>
      </c>
      <c r="Y34" s="4" t="s">
        <v>61</v>
      </c>
    </row>
    <row r="35" spans="1:25" x14ac:dyDescent="0.35">
      <c r="A35" s="11" t="s">
        <v>121</v>
      </c>
      <c r="B35" s="50">
        <v>44975</v>
      </c>
      <c r="C35" s="11" t="s">
        <v>97</v>
      </c>
      <c r="D35" s="13" t="s">
        <v>92</v>
      </c>
      <c r="E35" s="13" t="s">
        <v>48</v>
      </c>
      <c r="F35" s="11" t="s">
        <v>44</v>
      </c>
      <c r="G35" s="11" t="str">
        <f>_xlfn.XLOOKUP(Table2[[#This Row],[operator_id]],Operators[operator_id],Operators[operator_name])</f>
        <v>K. Fraser</v>
      </c>
      <c r="H35" s="11" t="s">
        <v>34</v>
      </c>
      <c r="I35" s="14">
        <v>692.1</v>
      </c>
      <c r="J35" s="14">
        <v>2999.5</v>
      </c>
      <c r="K35" s="14">
        <v>477.8</v>
      </c>
      <c r="L35" s="14">
        <v>490</v>
      </c>
      <c r="M35" s="18">
        <v>12.2</v>
      </c>
      <c r="N35" s="55">
        <v>2.5499999999999998E-2</v>
      </c>
      <c r="O35" s="17">
        <v>15.7</v>
      </c>
      <c r="P35" s="18">
        <v>13.82</v>
      </c>
      <c r="Q35" s="17">
        <v>60.2</v>
      </c>
      <c r="R35" s="17">
        <v>59.1</v>
      </c>
      <c r="S35" s="17">
        <v>3</v>
      </c>
      <c r="T35" s="13" t="s">
        <v>100</v>
      </c>
      <c r="U35" s="4">
        <f t="shared" si="0"/>
        <v>1</v>
      </c>
      <c r="V35" s="10" t="s">
        <v>28</v>
      </c>
      <c r="X35" s="11" t="s">
        <v>122</v>
      </c>
      <c r="Y35" s="13" t="s">
        <v>40</v>
      </c>
    </row>
    <row r="36" spans="1:25" x14ac:dyDescent="0.35">
      <c r="A36" s="2" t="s">
        <v>123</v>
      </c>
      <c r="B36" s="49">
        <v>44976</v>
      </c>
      <c r="C36" s="2" t="s">
        <v>23</v>
      </c>
      <c r="D36" s="4" t="s">
        <v>75</v>
      </c>
      <c r="E36" s="4" t="s">
        <v>48</v>
      </c>
      <c r="F36" s="2" t="s">
        <v>44</v>
      </c>
      <c r="G36" s="2" t="str">
        <f>_xlfn.XLOOKUP(Table2[[#This Row],[operator_id]],Operators[operator_id],Operators[operator_name])</f>
        <v>K. Fraser</v>
      </c>
      <c r="H36" s="2" t="s">
        <v>27</v>
      </c>
      <c r="I36" s="5">
        <v>727.9</v>
      </c>
      <c r="J36" s="5">
        <v>3893</v>
      </c>
      <c r="K36" s="5">
        <v>509.3</v>
      </c>
      <c r="L36" s="5">
        <v>511.8</v>
      </c>
      <c r="M36" s="9">
        <v>2.5</v>
      </c>
      <c r="N36" s="54">
        <v>4.8999999999999998E-3</v>
      </c>
      <c r="O36" s="8">
        <v>7.3</v>
      </c>
      <c r="P36" s="9">
        <v>6.97</v>
      </c>
      <c r="Q36" s="8">
        <v>68.599999999999994</v>
      </c>
      <c r="R36" s="8">
        <v>67.900000000000006</v>
      </c>
      <c r="S36" s="8">
        <v>3</v>
      </c>
      <c r="T36" s="4" t="s">
        <v>45</v>
      </c>
      <c r="U36" s="4">
        <f t="shared" si="0"/>
        <v>0</v>
      </c>
      <c r="V36" s="20" t="s">
        <v>38</v>
      </c>
      <c r="X36" s="2" t="s">
        <v>124</v>
      </c>
      <c r="Y36" s="4" t="s">
        <v>40</v>
      </c>
    </row>
    <row r="37" spans="1:25" x14ac:dyDescent="0.35">
      <c r="A37" s="11" t="s">
        <v>125</v>
      </c>
      <c r="B37" s="50">
        <v>44976</v>
      </c>
      <c r="C37" s="11" t="s">
        <v>42</v>
      </c>
      <c r="D37" s="13" t="s">
        <v>92</v>
      </c>
      <c r="E37" s="13" t="s">
        <v>89</v>
      </c>
      <c r="F37" s="11" t="s">
        <v>55</v>
      </c>
      <c r="G37" s="11" t="str">
        <f>_xlfn.XLOOKUP(Table2[[#This Row],[operator_id]],Operators[operator_id],Operators[operator_name])</f>
        <v>T. Dinesh</v>
      </c>
      <c r="H37" s="11" t="s">
        <v>34</v>
      </c>
      <c r="I37" s="14">
        <v>581.4</v>
      </c>
      <c r="J37" s="14">
        <v>2978.8</v>
      </c>
      <c r="K37" s="14">
        <v>351.3</v>
      </c>
      <c r="L37" s="14">
        <v>319.10000000000002</v>
      </c>
      <c r="M37" s="51">
        <v>-32.200000000000003</v>
      </c>
      <c r="N37" s="57">
        <v>-9.1700000000000004E-2</v>
      </c>
      <c r="O37" s="17">
        <v>10</v>
      </c>
      <c r="P37" s="18">
        <v>8.0500000000000007</v>
      </c>
      <c r="Q37" s="17">
        <v>65.2</v>
      </c>
      <c r="R37" s="17">
        <v>66.599999999999994</v>
      </c>
      <c r="S37" s="17">
        <v>0</v>
      </c>
      <c r="T37" s="13"/>
      <c r="U37" s="4">
        <f t="shared" si="0"/>
        <v>0</v>
      </c>
      <c r="V37" s="20" t="s">
        <v>38</v>
      </c>
      <c r="X37" s="11" t="s">
        <v>126</v>
      </c>
      <c r="Y37" s="13" t="s">
        <v>66</v>
      </c>
    </row>
    <row r="38" spans="1:25" x14ac:dyDescent="0.35">
      <c r="A38" s="2" t="s">
        <v>127</v>
      </c>
      <c r="B38" s="49">
        <v>44976</v>
      </c>
      <c r="C38" s="2" t="s">
        <v>42</v>
      </c>
      <c r="D38" s="4" t="s">
        <v>24</v>
      </c>
      <c r="E38" s="4" t="s">
        <v>25</v>
      </c>
      <c r="F38" s="2" t="s">
        <v>33</v>
      </c>
      <c r="G38" s="2" t="str">
        <f>_xlfn.XLOOKUP(Table2[[#This Row],[operator_id]],Operators[operator_id],Operators[operator_name])</f>
        <v>S. Patel</v>
      </c>
      <c r="H38" s="2" t="s">
        <v>27</v>
      </c>
      <c r="I38" s="5">
        <v>641</v>
      </c>
      <c r="J38" s="5">
        <v>2369.5</v>
      </c>
      <c r="K38" s="5">
        <v>447.7</v>
      </c>
      <c r="L38" s="5">
        <v>437.5</v>
      </c>
      <c r="M38" s="52">
        <v>-10.199999999999999</v>
      </c>
      <c r="N38" s="56">
        <v>-2.2800000000000001E-2</v>
      </c>
      <c r="O38" s="8">
        <v>15.5</v>
      </c>
      <c r="P38" s="9">
        <v>15.76</v>
      </c>
      <c r="Q38" s="8">
        <v>61</v>
      </c>
      <c r="R38" s="19">
        <v>63.4</v>
      </c>
      <c r="S38" s="8">
        <v>0</v>
      </c>
      <c r="T38" s="4"/>
      <c r="U38" s="4">
        <f t="shared" si="0"/>
        <v>0</v>
      </c>
      <c r="V38" s="20" t="s">
        <v>38</v>
      </c>
      <c r="X38" s="2" t="s">
        <v>128</v>
      </c>
      <c r="Y38" s="4" t="s">
        <v>57</v>
      </c>
    </row>
    <row r="39" spans="1:25" x14ac:dyDescent="0.35">
      <c r="A39" s="11" t="s">
        <v>129</v>
      </c>
      <c r="B39" s="50">
        <v>44977</v>
      </c>
      <c r="C39" s="11" t="s">
        <v>51</v>
      </c>
      <c r="D39" s="13" t="s">
        <v>24</v>
      </c>
      <c r="E39" s="13" t="s">
        <v>89</v>
      </c>
      <c r="F39" s="11" t="s">
        <v>33</v>
      </c>
      <c r="G39" s="11" t="str">
        <f>_xlfn.XLOOKUP(Table2[[#This Row],[operator_id]],Operators[operator_id],Operators[operator_name])</f>
        <v>S. Patel</v>
      </c>
      <c r="H39" s="11" t="s">
        <v>27</v>
      </c>
      <c r="I39" s="14">
        <v>497</v>
      </c>
      <c r="J39" s="14">
        <v>2226.4</v>
      </c>
      <c r="K39" s="14">
        <v>305.5</v>
      </c>
      <c r="L39" s="14">
        <v>319.5</v>
      </c>
      <c r="M39" s="18">
        <v>14</v>
      </c>
      <c r="N39" s="55">
        <v>4.58E-2</v>
      </c>
      <c r="O39" s="17">
        <v>4.8</v>
      </c>
      <c r="P39" s="18">
        <v>4.4000000000000004</v>
      </c>
      <c r="Q39" s="17">
        <v>68.8</v>
      </c>
      <c r="R39" s="19">
        <v>66.900000000000006</v>
      </c>
      <c r="S39" s="17">
        <v>1</v>
      </c>
      <c r="T39" s="13"/>
      <c r="U39" s="4">
        <f t="shared" si="0"/>
        <v>1</v>
      </c>
      <c r="V39" s="10" t="s">
        <v>28</v>
      </c>
      <c r="X39" s="11" t="s">
        <v>130</v>
      </c>
      <c r="Y39" s="13"/>
    </row>
    <row r="40" spans="1:25" x14ac:dyDescent="0.35">
      <c r="A40" s="2" t="s">
        <v>131</v>
      </c>
      <c r="B40" s="49">
        <v>44981</v>
      </c>
      <c r="C40" s="2" t="s">
        <v>23</v>
      </c>
      <c r="D40" s="4" t="s">
        <v>54</v>
      </c>
      <c r="E40" s="4" t="s">
        <v>32</v>
      </c>
      <c r="F40" s="2" t="s">
        <v>26</v>
      </c>
      <c r="G40" s="2" t="str">
        <f>_xlfn.XLOOKUP(Table2[[#This Row],[operator_id]],Operators[operator_id],Operators[operator_name])</f>
        <v>M. Chen</v>
      </c>
      <c r="H40" s="2" t="s">
        <v>27</v>
      </c>
      <c r="I40" s="5">
        <v>874.5</v>
      </c>
      <c r="J40" s="5">
        <v>3483</v>
      </c>
      <c r="K40" s="5">
        <v>519.5</v>
      </c>
      <c r="L40" s="5">
        <v>550.20000000000005</v>
      </c>
      <c r="M40" s="9">
        <v>30.7</v>
      </c>
      <c r="N40" s="54">
        <v>5.91E-2</v>
      </c>
      <c r="O40" s="8">
        <v>9.5</v>
      </c>
      <c r="P40" s="9">
        <v>8.16</v>
      </c>
      <c r="Q40" s="8">
        <v>64.599999999999994</v>
      </c>
      <c r="R40" s="19">
        <v>66.5</v>
      </c>
      <c r="S40" s="8">
        <v>0</v>
      </c>
      <c r="T40" s="4"/>
      <c r="U40" s="4">
        <f t="shared" si="0"/>
        <v>1</v>
      </c>
      <c r="V40" s="10" t="s">
        <v>28</v>
      </c>
      <c r="X40" s="2" t="s">
        <v>132</v>
      </c>
      <c r="Y40" s="4"/>
    </row>
    <row r="41" spans="1:25" x14ac:dyDescent="0.35">
      <c r="A41" s="11" t="s">
        <v>133</v>
      </c>
      <c r="B41" s="50">
        <v>44981</v>
      </c>
      <c r="C41" s="11" t="s">
        <v>42</v>
      </c>
      <c r="D41" s="13" t="s">
        <v>37</v>
      </c>
      <c r="E41" s="13" t="s">
        <v>43</v>
      </c>
      <c r="F41" s="11" t="s">
        <v>26</v>
      </c>
      <c r="G41" s="11" t="str">
        <f>_xlfn.XLOOKUP(Table2[[#This Row],[operator_id]],Operators[operator_id],Operators[operator_name])</f>
        <v>M. Chen</v>
      </c>
      <c r="H41" s="11" t="s">
        <v>34</v>
      </c>
      <c r="I41" s="14">
        <v>870.2</v>
      </c>
      <c r="J41" s="14">
        <v>4589.7</v>
      </c>
      <c r="K41" s="14">
        <v>564.5</v>
      </c>
      <c r="L41" s="14">
        <v>569.29999999999995</v>
      </c>
      <c r="M41" s="18">
        <v>4.8</v>
      </c>
      <c r="N41" s="55">
        <v>8.5000000000000006E-3</v>
      </c>
      <c r="O41" s="17">
        <v>14</v>
      </c>
      <c r="P41" s="18">
        <v>14.49</v>
      </c>
      <c r="Q41" s="17">
        <v>68.3</v>
      </c>
      <c r="R41" s="17">
        <v>69.400000000000006</v>
      </c>
      <c r="S41" s="17">
        <v>3</v>
      </c>
      <c r="T41" s="13" t="s">
        <v>45</v>
      </c>
      <c r="U41" s="4">
        <f t="shared" si="0"/>
        <v>0</v>
      </c>
      <c r="V41" s="20" t="s">
        <v>38</v>
      </c>
      <c r="X41" s="11" t="s">
        <v>134</v>
      </c>
      <c r="Y41" s="13" t="s">
        <v>40</v>
      </c>
    </row>
    <row r="42" spans="1:25" x14ac:dyDescent="0.35">
      <c r="A42" s="2" t="s">
        <v>135</v>
      </c>
      <c r="B42" s="49">
        <v>44983</v>
      </c>
      <c r="C42" s="2" t="s">
        <v>31</v>
      </c>
      <c r="D42" s="4" t="s">
        <v>37</v>
      </c>
      <c r="E42" s="4" t="s">
        <v>105</v>
      </c>
      <c r="F42" s="2" t="s">
        <v>44</v>
      </c>
      <c r="G42" s="2" t="str">
        <f>_xlfn.XLOOKUP(Table2[[#This Row],[operator_id]],Operators[operator_id],Operators[operator_name])</f>
        <v>K. Fraser</v>
      </c>
      <c r="H42" s="2" t="s">
        <v>27</v>
      </c>
      <c r="I42" s="5">
        <v>452.7</v>
      </c>
      <c r="J42" s="5">
        <v>2190.8000000000002</v>
      </c>
      <c r="K42" s="5">
        <v>259.8</v>
      </c>
      <c r="L42" s="5">
        <v>262.60000000000002</v>
      </c>
      <c r="M42" s="9">
        <v>2.8</v>
      </c>
      <c r="N42" s="54">
        <v>1.0800000000000001E-2</v>
      </c>
      <c r="O42" s="8">
        <v>14.6</v>
      </c>
      <c r="P42" s="9">
        <v>14.69</v>
      </c>
      <c r="Q42" s="8">
        <v>69.3</v>
      </c>
      <c r="R42" s="19">
        <v>67.099999999999994</v>
      </c>
      <c r="S42" s="8">
        <v>0</v>
      </c>
      <c r="T42" s="4"/>
      <c r="U42" s="4">
        <f t="shared" si="0"/>
        <v>1</v>
      </c>
      <c r="V42" s="10" t="s">
        <v>28</v>
      </c>
      <c r="X42" s="2" t="s">
        <v>136</v>
      </c>
      <c r="Y42" s="4" t="s">
        <v>61</v>
      </c>
    </row>
    <row r="43" spans="1:25" x14ac:dyDescent="0.35">
      <c r="A43" s="11" t="s">
        <v>137</v>
      </c>
      <c r="B43" s="50">
        <v>44984</v>
      </c>
      <c r="C43" s="11" t="s">
        <v>97</v>
      </c>
      <c r="D43" s="13" t="s">
        <v>37</v>
      </c>
      <c r="E43" s="13" t="s">
        <v>89</v>
      </c>
      <c r="F43" s="11" t="s">
        <v>44</v>
      </c>
      <c r="G43" s="11" t="str">
        <f>_xlfn.XLOOKUP(Table2[[#This Row],[operator_id]],Operators[operator_id],Operators[operator_name])</f>
        <v>K. Fraser</v>
      </c>
      <c r="H43" s="11" t="s">
        <v>27</v>
      </c>
      <c r="I43" s="14">
        <v>1163.7</v>
      </c>
      <c r="J43" s="14">
        <v>5868.3</v>
      </c>
      <c r="K43" s="14">
        <v>690.3</v>
      </c>
      <c r="L43" s="14">
        <v>710.2</v>
      </c>
      <c r="M43" s="18">
        <v>19.899999999999999</v>
      </c>
      <c r="N43" s="55">
        <v>2.8799999999999999E-2</v>
      </c>
      <c r="O43" s="17">
        <v>17.399999999999999</v>
      </c>
      <c r="P43" s="18">
        <v>21.93</v>
      </c>
      <c r="Q43" s="17">
        <v>60.4</v>
      </c>
      <c r="R43" s="17">
        <v>59</v>
      </c>
      <c r="S43" s="17">
        <v>2</v>
      </c>
      <c r="T43" s="13" t="s">
        <v>70</v>
      </c>
      <c r="U43" s="4">
        <f t="shared" si="0"/>
        <v>1</v>
      </c>
      <c r="V43" s="10" t="s">
        <v>28</v>
      </c>
      <c r="X43" s="11" t="s">
        <v>138</v>
      </c>
      <c r="Y43" s="13"/>
    </row>
    <row r="44" spans="1:25" x14ac:dyDescent="0.35">
      <c r="A44" s="2" t="s">
        <v>139</v>
      </c>
      <c r="B44" s="49">
        <v>44986</v>
      </c>
      <c r="C44" s="2" t="s">
        <v>23</v>
      </c>
      <c r="D44" s="4" t="s">
        <v>75</v>
      </c>
      <c r="E44" s="4" t="s">
        <v>105</v>
      </c>
      <c r="F44" s="2" t="s">
        <v>59</v>
      </c>
      <c r="G44" s="2" t="str">
        <f>_xlfn.XLOOKUP(Table2[[#This Row],[operator_id]],Operators[operator_id],Operators[operator_name])</f>
        <v>R. Osei</v>
      </c>
      <c r="H44" s="2" t="s">
        <v>34</v>
      </c>
      <c r="I44" s="5">
        <v>807</v>
      </c>
      <c r="J44" s="5">
        <v>3210.7</v>
      </c>
      <c r="K44" s="5">
        <v>486</v>
      </c>
      <c r="L44" s="5">
        <v>487.4</v>
      </c>
      <c r="M44" s="9">
        <v>1.4</v>
      </c>
      <c r="N44" s="54">
        <v>2.8999999999999998E-3</v>
      </c>
      <c r="O44" s="8">
        <v>14.3</v>
      </c>
      <c r="P44" s="9">
        <v>12.37</v>
      </c>
      <c r="Q44" s="8">
        <v>60.6</v>
      </c>
      <c r="R44" s="19">
        <v>62.2</v>
      </c>
      <c r="S44" s="8">
        <v>0</v>
      </c>
      <c r="T44" s="4"/>
      <c r="U44" s="4">
        <f t="shared" si="0"/>
        <v>0</v>
      </c>
      <c r="V44" s="20" t="s">
        <v>38</v>
      </c>
      <c r="X44" s="2" t="s">
        <v>140</v>
      </c>
      <c r="Y44" s="4"/>
    </row>
    <row r="45" spans="1:25" x14ac:dyDescent="0.35">
      <c r="A45" s="11" t="s">
        <v>141</v>
      </c>
      <c r="B45" s="50">
        <v>44987</v>
      </c>
      <c r="C45" s="11" t="s">
        <v>97</v>
      </c>
      <c r="D45" s="13" t="s">
        <v>75</v>
      </c>
      <c r="E45" s="13" t="s">
        <v>105</v>
      </c>
      <c r="F45" s="11" t="s">
        <v>26</v>
      </c>
      <c r="G45" s="11" t="str">
        <f>_xlfn.XLOOKUP(Table2[[#This Row],[operator_id]],Operators[operator_id],Operators[operator_name])</f>
        <v>M. Chen</v>
      </c>
      <c r="H45" s="11" t="s">
        <v>34</v>
      </c>
      <c r="I45" s="14">
        <v>727</v>
      </c>
      <c r="J45" s="14">
        <v>3650.3</v>
      </c>
      <c r="K45" s="14">
        <v>453.4</v>
      </c>
      <c r="L45" s="14">
        <v>452.8</v>
      </c>
      <c r="M45" s="52">
        <v>-0.6</v>
      </c>
      <c r="N45" s="56">
        <v>-1.2999999999999999E-3</v>
      </c>
      <c r="O45" s="17">
        <v>11.1</v>
      </c>
      <c r="P45" s="18">
        <v>12.14</v>
      </c>
      <c r="Q45" s="17">
        <v>62.4</v>
      </c>
      <c r="R45" s="17">
        <v>63.4</v>
      </c>
      <c r="S45" s="17">
        <v>0</v>
      </c>
      <c r="T45" s="13"/>
      <c r="U45" s="4">
        <f t="shared" si="0"/>
        <v>1</v>
      </c>
      <c r="V45" s="10" t="s">
        <v>28</v>
      </c>
      <c r="X45" s="11" t="s">
        <v>142</v>
      </c>
      <c r="Y45" s="13"/>
    </row>
    <row r="46" spans="1:25" x14ac:dyDescent="0.35">
      <c r="A46" s="2" t="s">
        <v>143</v>
      </c>
      <c r="B46" s="49">
        <v>44990</v>
      </c>
      <c r="C46" s="2" t="s">
        <v>51</v>
      </c>
      <c r="D46" s="4" t="s">
        <v>92</v>
      </c>
      <c r="E46" s="4" t="s">
        <v>105</v>
      </c>
      <c r="F46" s="2" t="s">
        <v>55</v>
      </c>
      <c r="G46" s="2" t="str">
        <f>_xlfn.XLOOKUP(Table2[[#This Row],[operator_id]],Operators[operator_id],Operators[operator_name])</f>
        <v>T. Dinesh</v>
      </c>
      <c r="H46" s="2" t="s">
        <v>34</v>
      </c>
      <c r="I46" s="5">
        <v>531.20000000000005</v>
      </c>
      <c r="J46" s="5">
        <v>2585.4</v>
      </c>
      <c r="K46" s="5">
        <v>368.6</v>
      </c>
      <c r="L46" s="5">
        <v>376.1</v>
      </c>
      <c r="M46" s="9">
        <v>7.5</v>
      </c>
      <c r="N46" s="54">
        <v>2.0299999999999999E-2</v>
      </c>
      <c r="O46" s="8">
        <v>17.600000000000001</v>
      </c>
      <c r="P46" s="9">
        <v>18.059999999999999</v>
      </c>
      <c r="Q46" s="8">
        <v>62.7</v>
      </c>
      <c r="R46" s="8">
        <v>61.3</v>
      </c>
      <c r="S46" s="8">
        <v>0</v>
      </c>
      <c r="T46" s="4"/>
      <c r="U46" s="4">
        <f t="shared" si="0"/>
        <v>1</v>
      </c>
      <c r="V46" s="10" t="s">
        <v>28</v>
      </c>
      <c r="X46" s="2" t="s">
        <v>144</v>
      </c>
      <c r="Y46" s="4"/>
    </row>
    <row r="47" spans="1:25" x14ac:dyDescent="0.35">
      <c r="A47" s="11" t="s">
        <v>145</v>
      </c>
      <c r="B47" s="50">
        <v>44990</v>
      </c>
      <c r="C47" s="11" t="s">
        <v>23</v>
      </c>
      <c r="D47" s="13" t="s">
        <v>37</v>
      </c>
      <c r="E47" s="13" t="s">
        <v>105</v>
      </c>
      <c r="F47" s="11" t="s">
        <v>59</v>
      </c>
      <c r="G47" s="11" t="str">
        <f>_xlfn.XLOOKUP(Table2[[#This Row],[operator_id]],Operators[operator_id],Operators[operator_name])</f>
        <v>R. Osei</v>
      </c>
      <c r="H47" s="11" t="s">
        <v>34</v>
      </c>
      <c r="I47" s="14">
        <v>712.9</v>
      </c>
      <c r="J47" s="14">
        <v>3761.9</v>
      </c>
      <c r="K47" s="14">
        <v>464.5</v>
      </c>
      <c r="L47" s="14">
        <v>459.8</v>
      </c>
      <c r="M47" s="52">
        <v>-4.7</v>
      </c>
      <c r="N47" s="56">
        <v>-1.01E-2</v>
      </c>
      <c r="O47" s="17">
        <v>14.8</v>
      </c>
      <c r="P47" s="18">
        <v>14.56</v>
      </c>
      <c r="Q47" s="17">
        <v>64.5</v>
      </c>
      <c r="R47" s="17">
        <v>64.5</v>
      </c>
      <c r="S47" s="17">
        <v>3</v>
      </c>
      <c r="T47" s="13" t="s">
        <v>146</v>
      </c>
      <c r="U47" s="4">
        <f t="shared" si="0"/>
        <v>0</v>
      </c>
      <c r="V47" s="20" t="s">
        <v>38</v>
      </c>
      <c r="X47" s="11" t="s">
        <v>147</v>
      </c>
      <c r="Y47" s="13" t="s">
        <v>40</v>
      </c>
    </row>
    <row r="48" spans="1:25" x14ac:dyDescent="0.35">
      <c r="A48" s="2" t="s">
        <v>148</v>
      </c>
      <c r="B48" s="49">
        <v>44991</v>
      </c>
      <c r="C48" s="2" t="s">
        <v>31</v>
      </c>
      <c r="D48" s="4" t="s">
        <v>92</v>
      </c>
      <c r="E48" s="4" t="s">
        <v>43</v>
      </c>
      <c r="F48" s="2" t="s">
        <v>33</v>
      </c>
      <c r="G48" s="2" t="str">
        <f>_xlfn.XLOOKUP(Table2[[#This Row],[operator_id]],Operators[operator_id],Operators[operator_name])</f>
        <v>S. Patel</v>
      </c>
      <c r="H48" s="2" t="s">
        <v>34</v>
      </c>
      <c r="I48" s="5">
        <v>706.4</v>
      </c>
      <c r="J48" s="5">
        <v>3564.3</v>
      </c>
      <c r="K48" s="5">
        <v>419.8</v>
      </c>
      <c r="L48" s="5">
        <v>431.3</v>
      </c>
      <c r="M48" s="9">
        <v>11.5</v>
      </c>
      <c r="N48" s="54">
        <v>2.7400000000000001E-2</v>
      </c>
      <c r="O48" s="8">
        <v>12.4</v>
      </c>
      <c r="P48" s="9">
        <v>13.79</v>
      </c>
      <c r="Q48" s="8">
        <v>67.3</v>
      </c>
      <c r="R48" s="8">
        <v>68.3</v>
      </c>
      <c r="S48" s="8">
        <v>1</v>
      </c>
      <c r="T48" s="4" t="s">
        <v>146</v>
      </c>
      <c r="U48" s="4">
        <f t="shared" si="0"/>
        <v>1</v>
      </c>
      <c r="V48" s="10" t="s">
        <v>28</v>
      </c>
      <c r="X48" s="2" t="s">
        <v>149</v>
      </c>
      <c r="Y48" s="4"/>
    </row>
    <row r="49" spans="1:25" x14ac:dyDescent="0.35">
      <c r="A49" s="11" t="s">
        <v>150</v>
      </c>
      <c r="B49" s="50">
        <v>44992</v>
      </c>
      <c r="C49" s="11" t="s">
        <v>42</v>
      </c>
      <c r="D49" s="13" t="s">
        <v>75</v>
      </c>
      <c r="E49" s="13" t="s">
        <v>32</v>
      </c>
      <c r="F49" s="11" t="s">
        <v>59</v>
      </c>
      <c r="G49" s="11" t="str">
        <f>_xlfn.XLOOKUP(Table2[[#This Row],[operator_id]],Operators[operator_id],Operators[operator_name])</f>
        <v>R. Osei</v>
      </c>
      <c r="H49" s="11" t="s">
        <v>34</v>
      </c>
      <c r="I49" s="14">
        <v>421.4</v>
      </c>
      <c r="J49" s="14">
        <v>1945.7</v>
      </c>
      <c r="K49" s="14">
        <v>297.39999999999998</v>
      </c>
      <c r="L49" s="14">
        <v>297.3</v>
      </c>
      <c r="M49" s="52">
        <v>-0.1</v>
      </c>
      <c r="N49" s="56">
        <v>-2.9999999999999997E-4</v>
      </c>
      <c r="O49" s="17">
        <v>6.6</v>
      </c>
      <c r="P49" s="18">
        <v>5.81</v>
      </c>
      <c r="Q49" s="17">
        <v>64.3</v>
      </c>
      <c r="R49" s="17">
        <v>63.9</v>
      </c>
      <c r="S49" s="17">
        <v>2</v>
      </c>
      <c r="T49" s="13"/>
      <c r="U49" s="4">
        <f t="shared" si="0"/>
        <v>1</v>
      </c>
      <c r="V49" s="10" t="s">
        <v>28</v>
      </c>
      <c r="X49" s="11" t="s">
        <v>151</v>
      </c>
      <c r="Y49" s="13"/>
    </row>
    <row r="50" spans="1:25" x14ac:dyDescent="0.35">
      <c r="A50" s="2" t="s">
        <v>152</v>
      </c>
      <c r="B50" s="49">
        <v>44995</v>
      </c>
      <c r="C50" s="2" t="s">
        <v>51</v>
      </c>
      <c r="D50" s="4" t="s">
        <v>75</v>
      </c>
      <c r="E50" s="4" t="s">
        <v>43</v>
      </c>
      <c r="F50" s="2" t="s">
        <v>59</v>
      </c>
      <c r="G50" s="2" t="str">
        <f>_xlfn.XLOOKUP(Table2[[#This Row],[operator_id]],Operators[operator_id],Operators[operator_name])</f>
        <v>R. Osei</v>
      </c>
      <c r="H50" s="2" t="s">
        <v>27</v>
      </c>
      <c r="I50" s="5">
        <v>921.2</v>
      </c>
      <c r="J50" s="5">
        <v>4462.8</v>
      </c>
      <c r="K50" s="5">
        <v>585.70000000000005</v>
      </c>
      <c r="L50" s="5">
        <v>619.20000000000005</v>
      </c>
      <c r="M50" s="9">
        <v>33.5</v>
      </c>
      <c r="N50" s="54">
        <v>5.7200000000000001E-2</v>
      </c>
      <c r="O50" s="8">
        <v>7.3</v>
      </c>
      <c r="P50" s="9">
        <v>8.14</v>
      </c>
      <c r="Q50" s="8">
        <v>66.900000000000006</v>
      </c>
      <c r="R50" s="8">
        <v>66.5</v>
      </c>
      <c r="S50" s="8">
        <v>1</v>
      </c>
      <c r="T50" s="4"/>
      <c r="U50" s="4">
        <f t="shared" si="0"/>
        <v>1</v>
      </c>
      <c r="V50" s="10" t="s">
        <v>28</v>
      </c>
      <c r="X50" s="2" t="s">
        <v>153</v>
      </c>
      <c r="Y50" s="4"/>
    </row>
    <row r="51" spans="1:25" x14ac:dyDescent="0.35">
      <c r="A51" s="11" t="s">
        <v>154</v>
      </c>
      <c r="B51" s="50">
        <v>44996</v>
      </c>
      <c r="C51" s="11" t="s">
        <v>23</v>
      </c>
      <c r="D51" s="13" t="s">
        <v>24</v>
      </c>
      <c r="E51" s="13" t="s">
        <v>43</v>
      </c>
      <c r="F51" s="11" t="s">
        <v>26</v>
      </c>
      <c r="G51" s="11" t="str">
        <f>_xlfn.XLOOKUP(Table2[[#This Row],[operator_id]],Operators[operator_id],Operators[operator_name])</f>
        <v>M. Chen</v>
      </c>
      <c r="H51" s="11" t="s">
        <v>27</v>
      </c>
      <c r="I51" s="14">
        <v>1106.9000000000001</v>
      </c>
      <c r="J51" s="14">
        <v>5043.3</v>
      </c>
      <c r="K51" s="14">
        <v>707.3</v>
      </c>
      <c r="L51" s="14">
        <v>716.5</v>
      </c>
      <c r="M51" s="18">
        <v>9.1999999999999993</v>
      </c>
      <c r="N51" s="55">
        <v>1.2999999999999999E-2</v>
      </c>
      <c r="O51" s="17">
        <v>15.2</v>
      </c>
      <c r="P51" s="18">
        <v>14.73</v>
      </c>
      <c r="Q51" s="17">
        <v>61.9</v>
      </c>
      <c r="R51" s="17">
        <v>61.2</v>
      </c>
      <c r="S51" s="17">
        <v>2</v>
      </c>
      <c r="T51" s="13" t="s">
        <v>86</v>
      </c>
      <c r="U51" s="4">
        <f t="shared" si="0"/>
        <v>1</v>
      </c>
      <c r="V51" s="10" t="s">
        <v>28</v>
      </c>
      <c r="X51" s="11" t="s">
        <v>155</v>
      </c>
      <c r="Y51" s="13"/>
    </row>
    <row r="52" spans="1:25" x14ac:dyDescent="0.35">
      <c r="A5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4945.8999999999996</v>
      </c>
      <c r="K52" s="5">
        <v>615.6</v>
      </c>
      <c r="L52" s="5">
        <v>594.6</v>
      </c>
      <c r="M52" s="52">
        <v>-21</v>
      </c>
      <c r="N52" s="56">
        <v>-3.4099999999999998E-2</v>
      </c>
      <c r="O52" s="8">
        <v>7.6</v>
      </c>
      <c r="P52" s="9">
        <v>9.6999999999999993</v>
      </c>
      <c r="Q52" s="8">
        <v>68.099999999999994</v>
      </c>
      <c r="R52" s="8">
        <v>67.099999999999994</v>
      </c>
      <c r="S52" s="8">
        <v>0</v>
      </c>
      <c r="T52" s="4"/>
      <c r="U52" s="4">
        <f t="shared" si="0"/>
        <v>1</v>
      </c>
      <c r="V52" s="10" t="s">
        <v>28</v>
      </c>
      <c r="X52" s="2" t="s">
        <v>157</v>
      </c>
      <c r="Y52" s="4"/>
    </row>
    <row r="53" spans="1:25" x14ac:dyDescent="0.35">
      <c r="A53" s="11" t="s">
        <v>158</v>
      </c>
      <c r="B53" s="50">
        <v>44998</v>
      </c>
      <c r="C53" s="11" t="s">
        <v>97</v>
      </c>
      <c r="D53" s="13" t="s">
        <v>54</v>
      </c>
      <c r="E53" s="13" t="s">
        <v>32</v>
      </c>
      <c r="F53" s="11" t="s">
        <v>59</v>
      </c>
      <c r="G53" s="11" t="str">
        <f>_xlfn.XLOOKUP(Table2[[#This Row],[operator_id]],Operators[operator_id],Operators[operator_name])</f>
        <v>R. Osei</v>
      </c>
      <c r="H53" s="11" t="s">
        <v>27</v>
      </c>
      <c r="I53" s="14">
        <v>867.9</v>
      </c>
      <c r="J53" s="14">
        <v>4031.3</v>
      </c>
      <c r="K53" s="14">
        <v>548.1</v>
      </c>
      <c r="L53" s="14">
        <v>548.5</v>
      </c>
      <c r="M53" s="18">
        <v>0.4</v>
      </c>
      <c r="N53" s="55">
        <v>6.9999999999999999E-4</v>
      </c>
      <c r="O53" s="17">
        <v>9.6999999999999993</v>
      </c>
      <c r="P53" s="18">
        <v>12.46</v>
      </c>
      <c r="Q53" s="17">
        <v>67.5</v>
      </c>
      <c r="R53" s="19">
        <v>65.099999999999994</v>
      </c>
      <c r="S53" s="17">
        <v>0</v>
      </c>
      <c r="T53" s="13"/>
      <c r="U53" s="4">
        <f t="shared" si="0"/>
        <v>0</v>
      </c>
      <c r="V53" s="20" t="s">
        <v>38</v>
      </c>
      <c r="X53" s="11" t="s">
        <v>159</v>
      </c>
      <c r="Y53" s="13" t="s">
        <v>61</v>
      </c>
    </row>
    <row r="54" spans="1:25" x14ac:dyDescent="0.35">
      <c r="A54" s="2" t="s">
        <v>160</v>
      </c>
      <c r="B54" s="49">
        <v>45000</v>
      </c>
      <c r="C54" s="2" t="s">
        <v>31</v>
      </c>
      <c r="D54" s="4" t="s">
        <v>92</v>
      </c>
      <c r="E54" s="4" t="s">
        <v>89</v>
      </c>
      <c r="F54" s="2" t="s">
        <v>59</v>
      </c>
      <c r="G54" s="2" t="str">
        <f>_xlfn.XLOOKUP(Table2[[#This Row],[operator_id]],Operators[operator_id],Operators[operator_name])</f>
        <v>R. Osei</v>
      </c>
      <c r="H54" s="2" t="s">
        <v>34</v>
      </c>
      <c r="I54" s="5">
        <v>863.4</v>
      </c>
      <c r="J54" s="5">
        <v>3518.5</v>
      </c>
      <c r="K54" s="5">
        <v>497.8</v>
      </c>
      <c r="L54" s="5">
        <v>497.7</v>
      </c>
      <c r="M54" s="52">
        <v>-0.1</v>
      </c>
      <c r="N54" s="56">
        <v>-2.0000000000000001E-4</v>
      </c>
      <c r="O54" s="8">
        <v>6.5</v>
      </c>
      <c r="P54" s="9">
        <v>7.42</v>
      </c>
      <c r="Q54" s="8">
        <v>69.8</v>
      </c>
      <c r="R54" s="8">
        <v>68.900000000000006</v>
      </c>
      <c r="S54" s="8">
        <v>0</v>
      </c>
      <c r="T54" s="4"/>
      <c r="U54" s="4">
        <f t="shared" si="0"/>
        <v>1</v>
      </c>
      <c r="V54" s="10" t="s">
        <v>28</v>
      </c>
      <c r="X54" s="2" t="s">
        <v>161</v>
      </c>
      <c r="Y54" s="4"/>
    </row>
    <row r="55" spans="1:25" x14ac:dyDescent="0.35">
      <c r="A55" s="11" t="s">
        <v>162</v>
      </c>
      <c r="B55" s="50">
        <v>45001</v>
      </c>
      <c r="C55" s="11" t="s">
        <v>23</v>
      </c>
      <c r="D55" s="13" t="s">
        <v>75</v>
      </c>
      <c r="E55" s="13" t="s">
        <v>48</v>
      </c>
      <c r="F55" s="11" t="s">
        <v>59</v>
      </c>
      <c r="G55" s="11" t="str">
        <f>_xlfn.XLOOKUP(Table2[[#This Row],[operator_id]],Operators[operator_id],Operators[operator_name])</f>
        <v>R. Osei</v>
      </c>
      <c r="H55" s="11" t="s">
        <v>34</v>
      </c>
      <c r="I55" s="14">
        <v>597.79999999999995</v>
      </c>
      <c r="J55" s="14">
        <v>3199.2</v>
      </c>
      <c r="K55" s="14">
        <v>335.1</v>
      </c>
      <c r="L55" s="14">
        <v>330.6</v>
      </c>
      <c r="M55" s="52">
        <v>-4.5</v>
      </c>
      <c r="N55" s="56">
        <v>-1.34E-2</v>
      </c>
      <c r="O55" s="17">
        <v>15.5</v>
      </c>
      <c r="P55" s="18">
        <v>13.18</v>
      </c>
      <c r="Q55" s="17">
        <v>65.599999999999994</v>
      </c>
      <c r="R55" s="19">
        <v>63.1</v>
      </c>
      <c r="S55" s="17">
        <v>2</v>
      </c>
      <c r="T55" s="13"/>
      <c r="U55" s="4">
        <f t="shared" si="0"/>
        <v>1</v>
      </c>
      <c r="V55" s="10" t="s">
        <v>28</v>
      </c>
      <c r="X55" s="11" t="s">
        <v>163</v>
      </c>
      <c r="Y55" s="13" t="s">
        <v>61</v>
      </c>
    </row>
    <row r="56" spans="1:25" x14ac:dyDescent="0.35">
      <c r="A56" s="2" t="s">
        <v>164</v>
      </c>
      <c r="B56" s="49">
        <v>45001</v>
      </c>
      <c r="C56" s="2" t="s">
        <v>51</v>
      </c>
      <c r="D56" s="4" t="s">
        <v>37</v>
      </c>
      <c r="E56" s="4" t="s">
        <v>25</v>
      </c>
      <c r="F56" s="2" t="s">
        <v>55</v>
      </c>
      <c r="G56" s="2" t="str">
        <f>_xlfn.XLOOKUP(Table2[[#This Row],[operator_id]],Operators[operator_id],Operators[operator_name])</f>
        <v>T. Dinesh</v>
      </c>
      <c r="H56" s="2" t="s">
        <v>27</v>
      </c>
      <c r="I56" s="5">
        <v>808.7</v>
      </c>
      <c r="J56" s="5">
        <v>3209</v>
      </c>
      <c r="K56" s="5">
        <v>485.8</v>
      </c>
      <c r="L56" s="5">
        <v>524</v>
      </c>
      <c r="M56" s="9">
        <v>38.200000000000003</v>
      </c>
      <c r="N56" s="54">
        <v>7.8600000000000003E-2</v>
      </c>
      <c r="O56" s="8">
        <v>14.1</v>
      </c>
      <c r="P56" s="9">
        <v>12.73</v>
      </c>
      <c r="Q56" s="8">
        <v>62.3</v>
      </c>
      <c r="R56" s="8">
        <v>63.6</v>
      </c>
      <c r="S56" s="8">
        <v>1</v>
      </c>
      <c r="T56" s="4"/>
      <c r="U56" s="4">
        <f t="shared" si="0"/>
        <v>1</v>
      </c>
      <c r="V56" s="10" t="s">
        <v>28</v>
      </c>
      <c r="X56" s="2" t="s">
        <v>165</v>
      </c>
      <c r="Y56" s="4"/>
    </row>
    <row r="57" spans="1:25" x14ac:dyDescent="0.35">
      <c r="A57" s="11" t="s">
        <v>166</v>
      </c>
      <c r="B57" s="50">
        <v>45002</v>
      </c>
      <c r="C57" s="11" t="s">
        <v>23</v>
      </c>
      <c r="D57" s="13" t="s">
        <v>54</v>
      </c>
      <c r="E57" s="13" t="s">
        <v>89</v>
      </c>
      <c r="F57" s="11" t="s">
        <v>44</v>
      </c>
      <c r="G57" s="11" t="str">
        <f>_xlfn.XLOOKUP(Table2[[#This Row],[operator_id]],Operators[operator_id],Operators[operator_name])</f>
        <v>K. Fraser</v>
      </c>
      <c r="H57" s="11" t="s">
        <v>27</v>
      </c>
      <c r="I57" s="14">
        <v>492.8</v>
      </c>
      <c r="J57" s="14">
        <v>2172.6</v>
      </c>
      <c r="K57" s="14">
        <v>332.1</v>
      </c>
      <c r="L57" s="14">
        <v>327.5</v>
      </c>
      <c r="M57" s="52">
        <v>-4.5999999999999996</v>
      </c>
      <c r="N57" s="56">
        <v>-1.3899999999999999E-2</v>
      </c>
      <c r="O57" s="17">
        <v>13.1</v>
      </c>
      <c r="P57" s="18">
        <v>13.8</v>
      </c>
      <c r="Q57" s="17">
        <v>69.599999999999994</v>
      </c>
      <c r="R57" s="17">
        <v>70.2</v>
      </c>
      <c r="S57" s="17">
        <v>0</v>
      </c>
      <c r="T57" s="13"/>
      <c r="U57" s="4">
        <f t="shared" si="0"/>
        <v>1</v>
      </c>
      <c r="V57" s="10" t="s">
        <v>28</v>
      </c>
      <c r="X57" s="11" t="s">
        <v>167</v>
      </c>
      <c r="Y57" s="13"/>
    </row>
    <row r="58" spans="1:25" x14ac:dyDescent="0.35">
      <c r="A58" s="2" t="s">
        <v>168</v>
      </c>
      <c r="B58" s="49">
        <v>45003</v>
      </c>
      <c r="C58" s="2" t="s">
        <v>42</v>
      </c>
      <c r="D58" s="4" t="s">
        <v>75</v>
      </c>
      <c r="E58" s="4" t="s">
        <v>89</v>
      </c>
      <c r="F58" s="2" t="s">
        <v>55</v>
      </c>
      <c r="G58" s="2" t="str">
        <f>_xlfn.XLOOKUP(Table2[[#This Row],[operator_id]],Operators[operator_id],Operators[operator_name])</f>
        <v>T. Dinesh</v>
      </c>
      <c r="H58" s="2" t="s">
        <v>34</v>
      </c>
      <c r="I58" s="5">
        <v>745.7</v>
      </c>
      <c r="J58" s="5">
        <v>3230.6</v>
      </c>
      <c r="K58" s="5">
        <v>483.2</v>
      </c>
      <c r="L58" s="5">
        <v>482.5</v>
      </c>
      <c r="M58" s="52">
        <v>-0.7</v>
      </c>
      <c r="N58" s="56">
        <v>-1.4E-3</v>
      </c>
      <c r="O58" s="8">
        <v>4.9000000000000004</v>
      </c>
      <c r="P58" s="9">
        <v>6.01</v>
      </c>
      <c r="Q58" s="8">
        <v>67.2</v>
      </c>
      <c r="R58" s="19">
        <v>69.5</v>
      </c>
      <c r="S58" s="8">
        <v>0</v>
      </c>
      <c r="T58" s="4"/>
      <c r="U58" s="4">
        <f t="shared" si="0"/>
        <v>1</v>
      </c>
      <c r="V58" s="10" t="s">
        <v>28</v>
      </c>
      <c r="X58" s="2" t="s">
        <v>169</v>
      </c>
      <c r="Y58" s="4" t="s">
        <v>57</v>
      </c>
    </row>
    <row r="59" spans="1:25" x14ac:dyDescent="0.35">
      <c r="A59" s="11" t="s">
        <v>170</v>
      </c>
      <c r="B59" s="50">
        <v>45009</v>
      </c>
      <c r="C59" s="11" t="s">
        <v>42</v>
      </c>
      <c r="D59" s="13" t="s">
        <v>37</v>
      </c>
      <c r="E59" s="13" t="s">
        <v>43</v>
      </c>
      <c r="F59" s="11" t="s">
        <v>33</v>
      </c>
      <c r="G59" s="11" t="str">
        <f>_xlfn.XLOOKUP(Table2[[#This Row],[operator_id]],Operators[operator_id],Operators[operator_name])</f>
        <v>S. Patel</v>
      </c>
      <c r="H59" s="11" t="s">
        <v>27</v>
      </c>
      <c r="I59" s="14">
        <v>981.3</v>
      </c>
      <c r="J59" s="14">
        <v>4844.3</v>
      </c>
      <c r="K59" s="14">
        <v>647.1</v>
      </c>
      <c r="L59" s="14">
        <v>692.5</v>
      </c>
      <c r="M59" s="18">
        <v>45.4</v>
      </c>
      <c r="N59" s="55">
        <v>7.0199999999999999E-2</v>
      </c>
      <c r="O59" s="17">
        <v>4.5999999999999996</v>
      </c>
      <c r="P59" s="18">
        <v>4.5999999999999996</v>
      </c>
      <c r="Q59" s="17">
        <v>62.2</v>
      </c>
      <c r="R59" s="17">
        <v>61</v>
      </c>
      <c r="S59" s="17">
        <v>0</v>
      </c>
      <c r="T59" s="13"/>
      <c r="U59" s="4">
        <f t="shared" si="0"/>
        <v>1</v>
      </c>
      <c r="V59" s="10" t="s">
        <v>28</v>
      </c>
      <c r="X59" s="11" t="s">
        <v>171</v>
      </c>
      <c r="Y59" s="13"/>
    </row>
    <row r="60" spans="1:25" x14ac:dyDescent="0.35">
      <c r="A60" s="2" t="s">
        <v>172</v>
      </c>
      <c r="B60" s="49">
        <v>45011</v>
      </c>
      <c r="C60" s="2" t="s">
        <v>42</v>
      </c>
      <c r="D60" s="4" t="s">
        <v>75</v>
      </c>
      <c r="E60" s="4" t="s">
        <v>48</v>
      </c>
      <c r="F60" s="2" t="s">
        <v>33</v>
      </c>
      <c r="G60" s="2" t="str">
        <f>_xlfn.XLOOKUP(Table2[[#This Row],[operator_id]],Operators[operator_id],Operators[operator_name])</f>
        <v>S. Patel</v>
      </c>
      <c r="H60" s="2" t="s">
        <v>27</v>
      </c>
      <c r="I60" s="5">
        <v>782.5</v>
      </c>
      <c r="J60" s="5">
        <v>3696.9</v>
      </c>
      <c r="K60" s="5">
        <v>479.5</v>
      </c>
      <c r="L60" s="5">
        <v>468.3</v>
      </c>
      <c r="M60" s="52">
        <v>-11.2</v>
      </c>
      <c r="N60" s="56">
        <v>-2.3400000000000001E-2</v>
      </c>
      <c r="O60" s="8">
        <v>10.8</v>
      </c>
      <c r="P60" s="9">
        <v>13.28</v>
      </c>
      <c r="Q60" s="8">
        <v>61</v>
      </c>
      <c r="R60" s="8">
        <v>61.6</v>
      </c>
      <c r="S60" s="8">
        <v>0</v>
      </c>
      <c r="T60" s="4"/>
      <c r="U60" s="4">
        <f t="shared" si="0"/>
        <v>1</v>
      </c>
      <c r="V60" s="10" t="s">
        <v>28</v>
      </c>
      <c r="X60" s="2" t="s">
        <v>173</v>
      </c>
      <c r="Y60" s="4"/>
    </row>
    <row r="61" spans="1:25" x14ac:dyDescent="0.35">
      <c r="A61" s="11" t="s">
        <v>174</v>
      </c>
      <c r="B61" s="50">
        <v>45012</v>
      </c>
      <c r="C61" s="11" t="s">
        <v>23</v>
      </c>
      <c r="D61" s="13" t="s">
        <v>54</v>
      </c>
      <c r="E61" s="13" t="s">
        <v>48</v>
      </c>
      <c r="F61" s="11" t="s">
        <v>44</v>
      </c>
      <c r="G61" s="11" t="str">
        <f>_xlfn.XLOOKUP(Table2[[#This Row],[operator_id]],Operators[operator_id],Operators[operator_name])</f>
        <v>K. Fraser</v>
      </c>
      <c r="H61" s="11" t="s">
        <v>34</v>
      </c>
      <c r="I61" s="14">
        <v>614.9</v>
      </c>
      <c r="J61" s="14">
        <v>3056.3</v>
      </c>
      <c r="K61" s="14">
        <v>356.9</v>
      </c>
      <c r="L61" s="14">
        <v>377.9</v>
      </c>
      <c r="M61" s="18">
        <v>21</v>
      </c>
      <c r="N61" s="55">
        <v>5.8799999999999998E-2</v>
      </c>
      <c r="O61" s="17">
        <v>16.3</v>
      </c>
      <c r="P61" s="18">
        <v>13.26</v>
      </c>
      <c r="Q61" s="17">
        <v>60.6</v>
      </c>
      <c r="R61" s="19">
        <v>58.3</v>
      </c>
      <c r="S61" s="17">
        <v>0</v>
      </c>
      <c r="T61" s="13"/>
      <c r="U61" s="4">
        <f t="shared" si="0"/>
        <v>0</v>
      </c>
      <c r="V61" s="20" t="s">
        <v>38</v>
      </c>
      <c r="X61" s="11" t="s">
        <v>175</v>
      </c>
      <c r="Y61" s="13" t="s">
        <v>61</v>
      </c>
    </row>
    <row r="62" spans="1:25" x14ac:dyDescent="0.35">
      <c r="A62" s="2" t="s">
        <v>176</v>
      </c>
      <c r="B62" s="49">
        <v>45013</v>
      </c>
      <c r="C62" s="2" t="s">
        <v>51</v>
      </c>
      <c r="D62" s="4" t="s">
        <v>24</v>
      </c>
      <c r="E62" s="4" t="s">
        <v>48</v>
      </c>
      <c r="F62" s="2" t="s">
        <v>33</v>
      </c>
      <c r="G62" s="2" t="str">
        <f>_xlfn.XLOOKUP(Table2[[#This Row],[operator_id]],Operators[operator_id],Operators[operator_name])</f>
        <v>S. Patel</v>
      </c>
      <c r="H62" s="2" t="s">
        <v>34</v>
      </c>
      <c r="I62" s="5">
        <v>685.8</v>
      </c>
      <c r="J62" s="5">
        <v>3084.7</v>
      </c>
      <c r="K62" s="5">
        <v>386.7</v>
      </c>
      <c r="L62" s="5">
        <v>344.7</v>
      </c>
      <c r="M62" s="51">
        <v>-42</v>
      </c>
      <c r="N62" s="57">
        <v>-0.1086</v>
      </c>
      <c r="O62" s="8">
        <v>4.0999999999999996</v>
      </c>
      <c r="P62" s="9">
        <v>4.78</v>
      </c>
      <c r="Q62" s="8">
        <v>68</v>
      </c>
      <c r="R62" s="19">
        <v>70.099999999999994</v>
      </c>
      <c r="S62" s="8">
        <v>0</v>
      </c>
      <c r="T62" s="4"/>
      <c r="U62" s="4">
        <f t="shared" si="0"/>
        <v>1</v>
      </c>
      <c r="V62" s="10" t="s">
        <v>28</v>
      </c>
      <c r="X62" s="2" t="s">
        <v>177</v>
      </c>
      <c r="Y62" s="4" t="s">
        <v>66</v>
      </c>
    </row>
    <row r="63" spans="1:25" x14ac:dyDescent="0.35">
      <c r="A63" s="11" t="s">
        <v>178</v>
      </c>
      <c r="B63" s="50">
        <v>45014</v>
      </c>
      <c r="C63" s="11" t="s">
        <v>51</v>
      </c>
      <c r="D63" s="13" t="s">
        <v>37</v>
      </c>
      <c r="E63" s="13" t="s">
        <v>43</v>
      </c>
      <c r="F63" s="11" t="s">
        <v>44</v>
      </c>
      <c r="G63" s="11" t="str">
        <f>_xlfn.XLOOKUP(Table2[[#This Row],[operator_id]],Operators[operator_id],Operators[operator_name])</f>
        <v>K. Fraser</v>
      </c>
      <c r="H63" s="11" t="s">
        <v>34</v>
      </c>
      <c r="I63" s="14">
        <v>1150.4000000000001</v>
      </c>
      <c r="J63" s="14">
        <v>5423.5</v>
      </c>
      <c r="K63" s="14">
        <v>726.4</v>
      </c>
      <c r="L63" s="14">
        <v>743.7</v>
      </c>
      <c r="M63" s="18">
        <v>17.3</v>
      </c>
      <c r="N63" s="55">
        <v>2.3800000000000002E-2</v>
      </c>
      <c r="O63" s="17">
        <v>4</v>
      </c>
      <c r="P63" s="18">
        <v>4.3499999999999996</v>
      </c>
      <c r="Q63" s="17">
        <v>62</v>
      </c>
      <c r="R63" s="17">
        <v>61.5</v>
      </c>
      <c r="S63" s="17">
        <v>0</v>
      </c>
      <c r="T63" s="13"/>
      <c r="U63" s="4">
        <f t="shared" si="0"/>
        <v>1</v>
      </c>
      <c r="V63" s="10" t="s">
        <v>28</v>
      </c>
      <c r="X63" s="11" t="s">
        <v>179</v>
      </c>
      <c r="Y63" s="13"/>
    </row>
    <row r="64" spans="1:25" x14ac:dyDescent="0.35">
      <c r="A64" s="2" t="s">
        <v>180</v>
      </c>
      <c r="B64" s="49">
        <v>45016</v>
      </c>
      <c r="C64" s="2" t="s">
        <v>23</v>
      </c>
      <c r="D64" s="4" t="s">
        <v>92</v>
      </c>
      <c r="E64" s="4" t="s">
        <v>32</v>
      </c>
      <c r="F64" s="2" t="s">
        <v>33</v>
      </c>
      <c r="G64" s="2" t="str">
        <f>_xlfn.XLOOKUP(Table2[[#This Row],[operator_id]],Operators[operator_id],Operators[operator_name])</f>
        <v>S. Patel</v>
      </c>
      <c r="H64" s="2" t="s">
        <v>34</v>
      </c>
      <c r="I64" s="5">
        <v>698.1</v>
      </c>
      <c r="J64" s="5">
        <v>3339.1</v>
      </c>
      <c r="K64" s="5">
        <v>493.4</v>
      </c>
      <c r="L64" s="5">
        <v>486.5</v>
      </c>
      <c r="M64" s="52">
        <v>-6.9</v>
      </c>
      <c r="N64" s="56">
        <v>-1.4E-2</v>
      </c>
      <c r="O64" s="8">
        <v>17.7</v>
      </c>
      <c r="P64" s="9">
        <v>17.899999999999999</v>
      </c>
      <c r="Q64" s="8">
        <v>60.6</v>
      </c>
      <c r="R64" s="8">
        <v>61.5</v>
      </c>
      <c r="S64" s="8">
        <v>0</v>
      </c>
      <c r="T64" s="4"/>
      <c r="U64" s="4">
        <f t="shared" si="0"/>
        <v>1</v>
      </c>
      <c r="V64" s="10" t="s">
        <v>28</v>
      </c>
      <c r="X64" s="2" t="s">
        <v>181</v>
      </c>
      <c r="Y64" s="4"/>
    </row>
    <row r="65" spans="1:25" x14ac:dyDescent="0.35">
      <c r="A65" s="11" t="s">
        <v>182</v>
      </c>
      <c r="B65" s="50">
        <v>45020</v>
      </c>
      <c r="C65" s="11" t="s">
        <v>97</v>
      </c>
      <c r="D65" s="13" t="s">
        <v>54</v>
      </c>
      <c r="E65" s="13" t="s">
        <v>43</v>
      </c>
      <c r="F65" s="11" t="s">
        <v>33</v>
      </c>
      <c r="G65" s="11" t="str">
        <f>_xlfn.XLOOKUP(Table2[[#This Row],[operator_id]],Operators[operator_id],Operators[operator_name])</f>
        <v>S. Patel</v>
      </c>
      <c r="H65" s="11" t="s">
        <v>27</v>
      </c>
      <c r="I65" s="14">
        <v>647.79999999999995</v>
      </c>
      <c r="J65" s="14">
        <v>2506.6</v>
      </c>
      <c r="K65" s="14">
        <v>402.4</v>
      </c>
      <c r="L65" s="14">
        <v>395.9</v>
      </c>
      <c r="M65" s="52">
        <v>-6.5</v>
      </c>
      <c r="N65" s="56">
        <v>-1.6199999999999999E-2</v>
      </c>
      <c r="O65" s="17">
        <v>17.3</v>
      </c>
      <c r="P65" s="18">
        <v>16.989999999999998</v>
      </c>
      <c r="Q65" s="17">
        <v>68.5</v>
      </c>
      <c r="R65" s="17">
        <v>69.599999999999994</v>
      </c>
      <c r="S65" s="17">
        <v>0</v>
      </c>
      <c r="T65" s="13"/>
      <c r="U65" s="4">
        <f t="shared" si="0"/>
        <v>1</v>
      </c>
      <c r="V65" s="10" t="s">
        <v>28</v>
      </c>
      <c r="X65" s="11" t="s">
        <v>183</v>
      </c>
      <c r="Y65" s="13"/>
    </row>
    <row r="66" spans="1:25" x14ac:dyDescent="0.35">
      <c r="A66" s="2" t="s">
        <v>184</v>
      </c>
      <c r="B66" s="49">
        <v>45021</v>
      </c>
      <c r="C66" s="2" t="s">
        <v>23</v>
      </c>
      <c r="D66" s="4" t="s">
        <v>24</v>
      </c>
      <c r="E66" s="4" t="s">
        <v>105</v>
      </c>
      <c r="F66" s="2" t="s">
        <v>33</v>
      </c>
      <c r="G66" s="2" t="str">
        <f>_xlfn.XLOOKUP(Table2[[#This Row],[operator_id]],Operators[operator_id],Operators[operator_name])</f>
        <v>S. Patel</v>
      </c>
      <c r="H66" s="2" t="s">
        <v>34</v>
      </c>
      <c r="I66" s="5">
        <v>572.20000000000005</v>
      </c>
      <c r="J66" s="5">
        <v>3119.5</v>
      </c>
      <c r="K66" s="5">
        <v>357.3</v>
      </c>
      <c r="L66" s="5">
        <v>367.2</v>
      </c>
      <c r="M66" s="9">
        <v>9.9</v>
      </c>
      <c r="N66" s="54">
        <v>2.7699999999999999E-2</v>
      </c>
      <c r="O66" s="8">
        <v>13.1</v>
      </c>
      <c r="P66" s="9">
        <v>18.28</v>
      </c>
      <c r="Q66" s="8">
        <v>64.3</v>
      </c>
      <c r="R66" s="19">
        <v>66.2</v>
      </c>
      <c r="S66" s="8">
        <v>0</v>
      </c>
      <c r="T66" s="4"/>
      <c r="U66" s="4">
        <f t="shared" si="0"/>
        <v>0</v>
      </c>
      <c r="V66" s="20" t="s">
        <v>38</v>
      </c>
      <c r="X66" s="2" t="s">
        <v>185</v>
      </c>
      <c r="Y66" s="4"/>
    </row>
    <row r="67" spans="1:25" x14ac:dyDescent="0.35">
      <c r="A67" s="11" t="s">
        <v>186</v>
      </c>
      <c r="B67" s="50">
        <v>45021</v>
      </c>
      <c r="C67" s="11" t="s">
        <v>51</v>
      </c>
      <c r="D67" s="13" t="s">
        <v>92</v>
      </c>
      <c r="E67" s="13" t="s">
        <v>48</v>
      </c>
      <c r="F67" s="11" t="s">
        <v>55</v>
      </c>
      <c r="G67" s="11" t="str">
        <f>_xlfn.XLOOKUP(Table2[[#This Row],[operator_id]],Operators[operator_id],Operators[operator_name])</f>
        <v>T. Dinesh</v>
      </c>
      <c r="H67" s="11" t="s">
        <v>34</v>
      </c>
      <c r="I67" s="14">
        <v>548.20000000000005</v>
      </c>
      <c r="J67" s="14">
        <v>2436.9</v>
      </c>
      <c r="K67" s="14">
        <v>331.4</v>
      </c>
      <c r="L67" s="14">
        <v>340.2</v>
      </c>
      <c r="M67" s="18">
        <v>8.8000000000000007</v>
      </c>
      <c r="N67" s="55">
        <v>2.6599999999999999E-2</v>
      </c>
      <c r="O67" s="17">
        <v>10.1</v>
      </c>
      <c r="P67" s="18">
        <v>11.64</v>
      </c>
      <c r="Q67" s="17">
        <v>62.6</v>
      </c>
      <c r="R67" s="19">
        <v>64.400000000000006</v>
      </c>
      <c r="S67" s="17">
        <v>2</v>
      </c>
      <c r="T67" s="13"/>
      <c r="U67" s="4">
        <f t="shared" ref="U67:U130" si="1">IF(V67="Pass",1,0)</f>
        <v>1</v>
      </c>
      <c r="V67" s="10" t="s">
        <v>28</v>
      </c>
      <c r="X67" s="11" t="s">
        <v>187</v>
      </c>
      <c r="Y67" s="13"/>
    </row>
    <row r="68" spans="1:25" x14ac:dyDescent="0.35">
      <c r="A68" s="2" t="s">
        <v>188</v>
      </c>
      <c r="B68" s="49">
        <v>45023</v>
      </c>
      <c r="C68" s="2" t="s">
        <v>97</v>
      </c>
      <c r="D68" s="4" t="s">
        <v>37</v>
      </c>
      <c r="E68" s="4" t="s">
        <v>105</v>
      </c>
      <c r="F68" s="2" t="s">
        <v>59</v>
      </c>
      <c r="G68" s="2" t="str">
        <f>_xlfn.XLOOKUP(Table2[[#This Row],[operator_id]],Operators[operator_id],Operators[operator_name])</f>
        <v>R. Osei</v>
      </c>
      <c r="H68" s="2" t="s">
        <v>27</v>
      </c>
      <c r="I68" s="5">
        <v>1191.5</v>
      </c>
      <c r="J68" s="5">
        <v>6461.7</v>
      </c>
      <c r="K68" s="5">
        <v>831.3</v>
      </c>
      <c r="L68" s="5">
        <v>855.6</v>
      </c>
      <c r="M68" s="9">
        <v>24.3</v>
      </c>
      <c r="N68" s="54">
        <v>2.92E-2</v>
      </c>
      <c r="O68" s="8">
        <v>12.7</v>
      </c>
      <c r="P68" s="9">
        <v>14.02</v>
      </c>
      <c r="Q68" s="8">
        <v>69.2</v>
      </c>
      <c r="R68" s="8">
        <v>69.900000000000006</v>
      </c>
      <c r="S68" s="8">
        <v>3</v>
      </c>
      <c r="T68" s="4" t="s">
        <v>45</v>
      </c>
      <c r="U68" s="4">
        <f t="shared" si="1"/>
        <v>0</v>
      </c>
      <c r="V68" s="20" t="s">
        <v>38</v>
      </c>
      <c r="X68" s="2" t="s">
        <v>189</v>
      </c>
      <c r="Y68" s="4" t="s">
        <v>40</v>
      </c>
    </row>
    <row r="69" spans="1:25" x14ac:dyDescent="0.35">
      <c r="A69" s="11" t="s">
        <v>190</v>
      </c>
      <c r="B69" s="50">
        <v>45026</v>
      </c>
      <c r="C69" s="11" t="s">
        <v>23</v>
      </c>
      <c r="D69" s="13" t="s">
        <v>92</v>
      </c>
      <c r="E69" s="13" t="s">
        <v>32</v>
      </c>
      <c r="F69" s="11" t="s">
        <v>44</v>
      </c>
      <c r="G69" s="11" t="str">
        <f>_xlfn.XLOOKUP(Table2[[#This Row],[operator_id]],Operators[operator_id],Operators[operator_name])</f>
        <v>K. Fraser</v>
      </c>
      <c r="H69" s="11" t="s">
        <v>34</v>
      </c>
      <c r="I69" s="14">
        <v>768.7</v>
      </c>
      <c r="J69" s="14">
        <v>2888</v>
      </c>
      <c r="K69" s="14">
        <v>439.9</v>
      </c>
      <c r="L69" s="14">
        <v>449.8</v>
      </c>
      <c r="M69" s="18">
        <v>9.9</v>
      </c>
      <c r="N69" s="55">
        <v>2.2499999999999999E-2</v>
      </c>
      <c r="O69" s="17">
        <v>13.8</v>
      </c>
      <c r="P69" s="18">
        <v>14.5</v>
      </c>
      <c r="Q69" s="17">
        <v>69.5</v>
      </c>
      <c r="R69" s="19">
        <v>67.900000000000006</v>
      </c>
      <c r="S69" s="17">
        <v>0</v>
      </c>
      <c r="T69" s="13"/>
      <c r="U69" s="4">
        <f t="shared" si="1"/>
        <v>1</v>
      </c>
      <c r="V69" s="10" t="s">
        <v>28</v>
      </c>
      <c r="X69" s="11" t="s">
        <v>191</v>
      </c>
      <c r="Y69" s="13"/>
    </row>
    <row r="70" spans="1:25" x14ac:dyDescent="0.35">
      <c r="A70" s="2" t="s">
        <v>192</v>
      </c>
      <c r="B70" s="49">
        <v>45026</v>
      </c>
      <c r="C70" s="2" t="s">
        <v>97</v>
      </c>
      <c r="D70" s="4" t="s">
        <v>24</v>
      </c>
      <c r="E70" s="4" t="s">
        <v>25</v>
      </c>
      <c r="F70" s="2" t="s">
        <v>55</v>
      </c>
      <c r="G70" s="2" t="str">
        <f>_xlfn.XLOOKUP(Table2[[#This Row],[operator_id]],Operators[operator_id],Operators[operator_name])</f>
        <v>T. Dinesh</v>
      </c>
      <c r="H70" s="2" t="s">
        <v>34</v>
      </c>
      <c r="I70" s="5">
        <v>483.7</v>
      </c>
      <c r="J70" s="5">
        <v>2544</v>
      </c>
      <c r="K70" s="5">
        <v>291.10000000000002</v>
      </c>
      <c r="L70" s="5">
        <v>298.7</v>
      </c>
      <c r="M70" s="9">
        <v>7.6</v>
      </c>
      <c r="N70" s="54">
        <v>2.6100000000000002E-2</v>
      </c>
      <c r="O70" s="8">
        <v>14.9</v>
      </c>
      <c r="P70" s="9">
        <v>19.760000000000002</v>
      </c>
      <c r="Q70" s="8">
        <v>67.400000000000006</v>
      </c>
      <c r="R70" s="19">
        <v>69.900000000000006</v>
      </c>
      <c r="S70" s="8">
        <v>2</v>
      </c>
      <c r="T70" s="4" t="s">
        <v>45</v>
      </c>
      <c r="U70" s="4">
        <f t="shared" si="1"/>
        <v>0</v>
      </c>
      <c r="V70" s="20" t="s">
        <v>38</v>
      </c>
      <c r="X70" s="2" t="s">
        <v>193</v>
      </c>
      <c r="Y70" s="4" t="s">
        <v>57</v>
      </c>
    </row>
    <row r="71" spans="1:25" x14ac:dyDescent="0.35">
      <c r="A71" s="11" t="s">
        <v>194</v>
      </c>
      <c r="B71" s="50">
        <v>45026</v>
      </c>
      <c r="C71" s="11" t="s">
        <v>31</v>
      </c>
      <c r="D71" s="13" t="s">
        <v>54</v>
      </c>
      <c r="E71" s="13" t="s">
        <v>105</v>
      </c>
      <c r="F71" s="11" t="s">
        <v>44</v>
      </c>
      <c r="G71" s="11" t="str">
        <f>_xlfn.XLOOKUP(Table2[[#This Row],[operator_id]],Operators[operator_id],Operators[operator_name])</f>
        <v>K. Fraser</v>
      </c>
      <c r="H71" s="11" t="s">
        <v>34</v>
      </c>
      <c r="I71" s="14">
        <v>636.6</v>
      </c>
      <c r="J71" s="14">
        <v>2698.4</v>
      </c>
      <c r="K71" s="14">
        <v>435.4</v>
      </c>
      <c r="L71" s="14">
        <v>463.2</v>
      </c>
      <c r="M71" s="18">
        <v>27.8</v>
      </c>
      <c r="N71" s="55">
        <v>6.3799999999999996E-2</v>
      </c>
      <c r="O71" s="17">
        <v>6.2</v>
      </c>
      <c r="P71" s="18">
        <v>8.68</v>
      </c>
      <c r="Q71" s="17">
        <v>60.7</v>
      </c>
      <c r="R71" s="19">
        <v>63.1</v>
      </c>
      <c r="S71" s="17">
        <v>2</v>
      </c>
      <c r="T71" s="13"/>
      <c r="U71" s="4">
        <f t="shared" si="1"/>
        <v>1</v>
      </c>
      <c r="V71" s="10" t="s">
        <v>28</v>
      </c>
      <c r="X71" s="11" t="s">
        <v>195</v>
      </c>
      <c r="Y71" s="13" t="s">
        <v>57</v>
      </c>
    </row>
    <row r="72" spans="1:25" x14ac:dyDescent="0.35">
      <c r="A72" s="2" t="s">
        <v>196</v>
      </c>
      <c r="B72" s="49">
        <v>45026</v>
      </c>
      <c r="C72" s="2" t="s">
        <v>97</v>
      </c>
      <c r="D72" s="4" t="s">
        <v>37</v>
      </c>
      <c r="E72" s="4" t="s">
        <v>32</v>
      </c>
      <c r="F72" s="2" t="s">
        <v>26</v>
      </c>
      <c r="G72" s="2" t="str">
        <f>_xlfn.XLOOKUP(Table2[[#This Row],[operator_id]],Operators[operator_id],Operators[operator_name])</f>
        <v>M. Chen</v>
      </c>
      <c r="H72" s="2" t="s">
        <v>34</v>
      </c>
      <c r="I72" s="5">
        <v>898</v>
      </c>
      <c r="J72" s="5">
        <v>4382.5</v>
      </c>
      <c r="K72" s="5">
        <v>562.70000000000005</v>
      </c>
      <c r="L72" s="5">
        <v>533.79999999999995</v>
      </c>
      <c r="M72" s="51">
        <v>-28.9</v>
      </c>
      <c r="N72" s="57">
        <v>-5.1400000000000001E-2</v>
      </c>
      <c r="O72" s="8">
        <v>10.199999999999999</v>
      </c>
      <c r="P72" s="9">
        <v>8.82</v>
      </c>
      <c r="Q72" s="8">
        <v>60.6</v>
      </c>
      <c r="R72" s="8">
        <v>61.1</v>
      </c>
      <c r="S72" s="8">
        <v>0</v>
      </c>
      <c r="T72" s="4"/>
      <c r="U72" s="4">
        <f t="shared" si="1"/>
        <v>1</v>
      </c>
      <c r="V72" s="10" t="s">
        <v>28</v>
      </c>
      <c r="X72" s="2" t="s">
        <v>197</v>
      </c>
      <c r="Y72" s="4"/>
    </row>
    <row r="73" spans="1:25" x14ac:dyDescent="0.35">
      <c r="A73" s="11" t="s">
        <v>198</v>
      </c>
      <c r="B73" s="50">
        <v>45030</v>
      </c>
      <c r="C73" s="11" t="s">
        <v>97</v>
      </c>
      <c r="D73" s="13" t="s">
        <v>75</v>
      </c>
      <c r="E73" s="13" t="s">
        <v>89</v>
      </c>
      <c r="F73" s="11" t="s">
        <v>33</v>
      </c>
      <c r="G73" s="11" t="str">
        <f>_xlfn.XLOOKUP(Table2[[#This Row],[operator_id]],Operators[operator_id],Operators[operator_name])</f>
        <v>S. Patel</v>
      </c>
      <c r="H73" s="11" t="s">
        <v>27</v>
      </c>
      <c r="I73" s="14">
        <v>870.4</v>
      </c>
      <c r="J73" s="14">
        <v>4700.5</v>
      </c>
      <c r="K73" s="14">
        <v>517.9</v>
      </c>
      <c r="L73" s="14">
        <v>513</v>
      </c>
      <c r="M73" s="52">
        <v>-4.9000000000000004</v>
      </c>
      <c r="N73" s="56">
        <v>-9.4999999999999998E-3</v>
      </c>
      <c r="O73" s="17">
        <v>11.2</v>
      </c>
      <c r="P73" s="18">
        <v>15.2</v>
      </c>
      <c r="Q73" s="17">
        <v>60.2</v>
      </c>
      <c r="R73" s="17">
        <v>60.8</v>
      </c>
      <c r="S73" s="17">
        <v>3</v>
      </c>
      <c r="T73" s="13"/>
      <c r="U73" s="4">
        <f t="shared" si="1"/>
        <v>0</v>
      </c>
      <c r="V73" s="20" t="s">
        <v>38</v>
      </c>
      <c r="X73" s="11" t="s">
        <v>199</v>
      </c>
      <c r="Y73" s="13" t="s">
        <v>40</v>
      </c>
    </row>
    <row r="74" spans="1:25" x14ac:dyDescent="0.35">
      <c r="A74" s="2" t="s">
        <v>200</v>
      </c>
      <c r="B74" s="49">
        <v>45030</v>
      </c>
      <c r="C74" s="2" t="s">
        <v>51</v>
      </c>
      <c r="D74" s="4" t="s">
        <v>37</v>
      </c>
      <c r="E74" s="4" t="s">
        <v>32</v>
      </c>
      <c r="F74" s="2" t="s">
        <v>55</v>
      </c>
      <c r="G74" s="2" t="str">
        <f>_xlfn.XLOOKUP(Table2[[#This Row],[operator_id]],Operators[operator_id],Operators[operator_name])</f>
        <v>T. Dinesh</v>
      </c>
      <c r="H74" s="2" t="s">
        <v>27</v>
      </c>
      <c r="I74" s="5">
        <v>470</v>
      </c>
      <c r="J74" s="5">
        <v>1704.7</v>
      </c>
      <c r="K74" s="5">
        <v>306.2</v>
      </c>
      <c r="L74" s="5">
        <v>304.39999999999998</v>
      </c>
      <c r="M74" s="52">
        <v>-1.8</v>
      </c>
      <c r="N74" s="56">
        <v>-5.8999999999999999E-3</v>
      </c>
      <c r="O74" s="8">
        <v>16.399999999999999</v>
      </c>
      <c r="P74" s="9">
        <v>20.74</v>
      </c>
      <c r="Q74" s="8">
        <v>68.400000000000006</v>
      </c>
      <c r="R74" s="8">
        <v>67.599999999999994</v>
      </c>
      <c r="S74" s="8">
        <v>1</v>
      </c>
      <c r="T74" s="4" t="s">
        <v>100</v>
      </c>
      <c r="U74" s="4">
        <f t="shared" si="1"/>
        <v>1</v>
      </c>
      <c r="V74" s="10" t="s">
        <v>28</v>
      </c>
      <c r="X74" s="2" t="s">
        <v>201</v>
      </c>
      <c r="Y74" s="4"/>
    </row>
    <row r="75" spans="1:25" x14ac:dyDescent="0.35">
      <c r="A75" s="11" t="s">
        <v>202</v>
      </c>
      <c r="B75" s="50">
        <v>45031</v>
      </c>
      <c r="C75" s="11" t="s">
        <v>31</v>
      </c>
      <c r="D75" s="13" t="s">
        <v>37</v>
      </c>
      <c r="E75" s="13" t="s">
        <v>105</v>
      </c>
      <c r="F75" s="11" t="s">
        <v>33</v>
      </c>
      <c r="G75" s="11" t="str">
        <f>_xlfn.XLOOKUP(Table2[[#This Row],[operator_id]],Operators[operator_id],Operators[operator_name])</f>
        <v>S. Patel</v>
      </c>
      <c r="H75" s="11" t="s">
        <v>27</v>
      </c>
      <c r="I75" s="14">
        <v>884.4</v>
      </c>
      <c r="J75" s="14">
        <v>4823</v>
      </c>
      <c r="K75" s="14">
        <v>540.20000000000005</v>
      </c>
      <c r="L75" s="14">
        <v>532.70000000000005</v>
      </c>
      <c r="M75" s="52">
        <v>-7.5</v>
      </c>
      <c r="N75" s="56">
        <v>-1.3899999999999999E-2</v>
      </c>
      <c r="O75" s="17">
        <v>6.3</v>
      </c>
      <c r="P75" s="18">
        <v>8.0299999999999994</v>
      </c>
      <c r="Q75" s="17">
        <v>66</v>
      </c>
      <c r="R75" s="19">
        <v>68.400000000000006</v>
      </c>
      <c r="S75" s="17">
        <v>1</v>
      </c>
      <c r="T75" s="13"/>
      <c r="U75" s="4">
        <f t="shared" si="1"/>
        <v>1</v>
      </c>
      <c r="V75" s="10" t="s">
        <v>28</v>
      </c>
      <c r="X75" s="11" t="s">
        <v>203</v>
      </c>
      <c r="Y75" s="13" t="s">
        <v>57</v>
      </c>
    </row>
    <row r="76" spans="1:25" x14ac:dyDescent="0.35">
      <c r="A76" s="2" t="s">
        <v>204</v>
      </c>
      <c r="B76" s="49">
        <v>45031</v>
      </c>
      <c r="C76" s="2" t="s">
        <v>23</v>
      </c>
      <c r="D76" s="4" t="s">
        <v>37</v>
      </c>
      <c r="E76" s="4" t="s">
        <v>89</v>
      </c>
      <c r="F76" s="2" t="s">
        <v>26</v>
      </c>
      <c r="G76" s="2" t="str">
        <f>_xlfn.XLOOKUP(Table2[[#This Row],[operator_id]],Operators[operator_id],Operators[operator_name])</f>
        <v>M. Chen</v>
      </c>
      <c r="H76" s="2" t="s">
        <v>27</v>
      </c>
      <c r="I76" s="5">
        <v>1183.4000000000001</v>
      </c>
      <c r="J76" s="5">
        <v>4669.8999999999996</v>
      </c>
      <c r="K76" s="5">
        <v>735</v>
      </c>
      <c r="L76" s="5">
        <v>661.5</v>
      </c>
      <c r="M76" s="51">
        <v>-73.5</v>
      </c>
      <c r="N76" s="57">
        <v>-0.1</v>
      </c>
      <c r="O76" s="8">
        <v>17</v>
      </c>
      <c r="P76" s="9">
        <v>17.13</v>
      </c>
      <c r="Q76" s="8">
        <v>61.2</v>
      </c>
      <c r="R76" s="8">
        <v>62</v>
      </c>
      <c r="S76" s="8">
        <v>0</v>
      </c>
      <c r="T76" s="4"/>
      <c r="U76" s="4">
        <f t="shared" si="1"/>
        <v>1</v>
      </c>
      <c r="V76" s="10" t="s">
        <v>28</v>
      </c>
      <c r="X76" s="2" t="s">
        <v>205</v>
      </c>
      <c r="Y76" s="4" t="s">
        <v>66</v>
      </c>
    </row>
    <row r="77" spans="1:25" x14ac:dyDescent="0.35">
      <c r="A77" s="11" t="s">
        <v>206</v>
      </c>
      <c r="B77" s="50">
        <v>45032</v>
      </c>
      <c r="C77" s="11" t="s">
        <v>42</v>
      </c>
      <c r="D77" s="13" t="s">
        <v>54</v>
      </c>
      <c r="E77" s="13" t="s">
        <v>48</v>
      </c>
      <c r="F77" s="11" t="s">
        <v>33</v>
      </c>
      <c r="G77" s="11" t="str">
        <f>_xlfn.XLOOKUP(Table2[[#This Row],[operator_id]],Operators[operator_id],Operators[operator_name])</f>
        <v>S. Patel</v>
      </c>
      <c r="H77" s="11" t="s">
        <v>27</v>
      </c>
      <c r="I77" s="14">
        <v>469.6</v>
      </c>
      <c r="J77" s="14">
        <v>1804.6</v>
      </c>
      <c r="K77" s="14">
        <v>284.10000000000002</v>
      </c>
      <c r="L77" s="14">
        <v>284.8</v>
      </c>
      <c r="M77" s="18">
        <v>0.7</v>
      </c>
      <c r="N77" s="55">
        <v>2.5000000000000001E-3</v>
      </c>
      <c r="O77" s="17">
        <v>7.2</v>
      </c>
      <c r="P77" s="18">
        <v>8.7200000000000006</v>
      </c>
      <c r="Q77" s="17">
        <v>68.599999999999994</v>
      </c>
      <c r="R77" s="17">
        <v>68.3</v>
      </c>
      <c r="S77" s="17">
        <v>0</v>
      </c>
      <c r="T77" s="13"/>
      <c r="U77" s="4">
        <f t="shared" si="1"/>
        <v>1</v>
      </c>
      <c r="V77" s="10" t="s">
        <v>28</v>
      </c>
      <c r="X77" s="11" t="s">
        <v>207</v>
      </c>
      <c r="Y77" s="13"/>
    </row>
    <row r="78" spans="1:25" x14ac:dyDescent="0.35">
      <c r="A78" s="2" t="s">
        <v>208</v>
      </c>
      <c r="B78" s="49">
        <v>45033</v>
      </c>
      <c r="C78" s="2" t="s">
        <v>42</v>
      </c>
      <c r="D78" s="4" t="s">
        <v>37</v>
      </c>
      <c r="E78" s="4" t="s">
        <v>32</v>
      </c>
      <c r="F78" s="2" t="s">
        <v>33</v>
      </c>
      <c r="G78" s="2" t="str">
        <f>_xlfn.XLOOKUP(Table2[[#This Row],[operator_id]],Operators[operator_id],Operators[operator_name])</f>
        <v>S. Patel</v>
      </c>
      <c r="H78" s="2" t="s">
        <v>27</v>
      </c>
      <c r="I78" s="5">
        <v>883</v>
      </c>
      <c r="J78" s="5">
        <v>4074.8</v>
      </c>
      <c r="K78" s="5">
        <v>595</v>
      </c>
      <c r="L78" s="5">
        <v>599</v>
      </c>
      <c r="M78" s="9">
        <v>4</v>
      </c>
      <c r="N78" s="54">
        <v>6.7000000000000002E-3</v>
      </c>
      <c r="O78" s="8">
        <v>4.3</v>
      </c>
      <c r="P78" s="9">
        <v>5</v>
      </c>
      <c r="Q78" s="8">
        <v>63.4</v>
      </c>
      <c r="R78" s="19">
        <v>61.5</v>
      </c>
      <c r="S78" s="8">
        <v>0</v>
      </c>
      <c r="T78" s="4"/>
      <c r="U78" s="4">
        <f t="shared" si="1"/>
        <v>1</v>
      </c>
      <c r="V78" s="10" t="s">
        <v>28</v>
      </c>
      <c r="X78" s="2" t="s">
        <v>209</v>
      </c>
      <c r="Y78" s="4"/>
    </row>
    <row r="79" spans="1:25" x14ac:dyDescent="0.35">
      <c r="A79" s="11" t="s">
        <v>210</v>
      </c>
      <c r="B79" s="50">
        <v>45034</v>
      </c>
      <c r="C79" s="11" t="s">
        <v>42</v>
      </c>
      <c r="D79" s="13" t="s">
        <v>92</v>
      </c>
      <c r="E79" s="13" t="s">
        <v>48</v>
      </c>
      <c r="F79" s="11" t="s">
        <v>55</v>
      </c>
      <c r="G79" s="11" t="str">
        <f>_xlfn.XLOOKUP(Table2[[#This Row],[operator_id]],Operators[operator_id],Operators[operator_name])</f>
        <v>T. Dinesh</v>
      </c>
      <c r="H79" s="11" t="s">
        <v>27</v>
      </c>
      <c r="I79" s="14">
        <v>1112.0999999999999</v>
      </c>
      <c r="J79" s="14">
        <v>5734.5</v>
      </c>
      <c r="K79" s="14">
        <v>760</v>
      </c>
      <c r="L79" s="14">
        <v>745.8</v>
      </c>
      <c r="M79" s="52">
        <v>-14.2</v>
      </c>
      <c r="N79" s="56">
        <v>-1.8700000000000001E-2</v>
      </c>
      <c r="O79" s="17">
        <v>17</v>
      </c>
      <c r="P79" s="18">
        <v>14.3</v>
      </c>
      <c r="Q79" s="17">
        <v>62.5</v>
      </c>
      <c r="R79" s="17">
        <v>61.5</v>
      </c>
      <c r="S79" s="17">
        <v>0</v>
      </c>
      <c r="T79" s="13"/>
      <c r="U79" s="4">
        <f t="shared" si="1"/>
        <v>1</v>
      </c>
      <c r="V79" s="10" t="s">
        <v>28</v>
      </c>
      <c r="X79" s="11" t="s">
        <v>211</v>
      </c>
      <c r="Y79" s="13"/>
    </row>
    <row r="80" spans="1:25" x14ac:dyDescent="0.35">
      <c r="A80" s="2" t="s">
        <v>212</v>
      </c>
      <c r="B80" s="49">
        <v>45036</v>
      </c>
      <c r="C80" s="2" t="s">
        <v>42</v>
      </c>
      <c r="D80" s="4" t="s">
        <v>24</v>
      </c>
      <c r="E80" s="4" t="s">
        <v>43</v>
      </c>
      <c r="F80" s="2" t="s">
        <v>33</v>
      </c>
      <c r="G80" s="2" t="str">
        <f>_xlfn.XLOOKUP(Table2[[#This Row],[operator_id]],Operators[operator_id],Operators[operator_name])</f>
        <v>S. Patel</v>
      </c>
      <c r="H80" s="2" t="s">
        <v>34</v>
      </c>
      <c r="I80" s="5">
        <v>781</v>
      </c>
      <c r="J80" s="5">
        <v>4027.9</v>
      </c>
      <c r="K80" s="5">
        <v>475.6</v>
      </c>
      <c r="L80" s="5">
        <v>495.7</v>
      </c>
      <c r="M80" s="9">
        <v>20.100000000000001</v>
      </c>
      <c r="N80" s="54">
        <v>4.2299999999999997E-2</v>
      </c>
      <c r="O80" s="8">
        <v>4.2</v>
      </c>
      <c r="P80" s="9">
        <v>4.5</v>
      </c>
      <c r="Q80" s="8">
        <v>61.7</v>
      </c>
      <c r="R80" s="19">
        <v>64</v>
      </c>
      <c r="S80" s="8">
        <v>0</v>
      </c>
      <c r="T80" s="4"/>
      <c r="U80" s="4">
        <f t="shared" si="1"/>
        <v>0</v>
      </c>
      <c r="V80" s="20" t="s">
        <v>38</v>
      </c>
      <c r="X80" s="2" t="s">
        <v>213</v>
      </c>
      <c r="Y80" s="4" t="s">
        <v>57</v>
      </c>
    </row>
    <row r="81" spans="1:25" x14ac:dyDescent="0.35">
      <c r="A81" s="11" t="s">
        <v>214</v>
      </c>
      <c r="B81" s="50">
        <v>45037</v>
      </c>
      <c r="C81" s="11" t="s">
        <v>31</v>
      </c>
      <c r="D81" s="13" t="s">
        <v>92</v>
      </c>
      <c r="E81" s="13" t="s">
        <v>89</v>
      </c>
      <c r="F81" s="11" t="s">
        <v>44</v>
      </c>
      <c r="G81" s="11" t="str">
        <f>_xlfn.XLOOKUP(Table2[[#This Row],[operator_id]],Operators[operator_id],Operators[operator_name])</f>
        <v>K. Fraser</v>
      </c>
      <c r="H81" s="11" t="s">
        <v>27</v>
      </c>
      <c r="I81" s="14">
        <v>769.2</v>
      </c>
      <c r="J81" s="14">
        <v>2967.6</v>
      </c>
      <c r="K81" s="14">
        <v>497.2</v>
      </c>
      <c r="L81" s="14">
        <v>452.5</v>
      </c>
      <c r="M81" s="51">
        <v>-44.7</v>
      </c>
      <c r="N81" s="57">
        <v>-8.9899999999999994E-2</v>
      </c>
      <c r="O81" s="17">
        <v>13.5</v>
      </c>
      <c r="P81" s="18">
        <v>11.51</v>
      </c>
      <c r="Q81" s="17">
        <v>63.2</v>
      </c>
      <c r="R81" s="19">
        <v>60.9</v>
      </c>
      <c r="S81" s="17">
        <v>1</v>
      </c>
      <c r="T81" s="13" t="s">
        <v>86</v>
      </c>
      <c r="U81" s="4">
        <f t="shared" si="1"/>
        <v>0</v>
      </c>
      <c r="V81" s="20" t="s">
        <v>38</v>
      </c>
      <c r="X81" s="11" t="s">
        <v>215</v>
      </c>
      <c r="Y81" s="13" t="s">
        <v>66</v>
      </c>
    </row>
    <row r="82" spans="1:25" x14ac:dyDescent="0.35">
      <c r="A82" s="2" t="s">
        <v>216</v>
      </c>
      <c r="B82" s="49">
        <v>45037</v>
      </c>
      <c r="C82" s="2" t="s">
        <v>23</v>
      </c>
      <c r="D82" s="4" t="s">
        <v>92</v>
      </c>
      <c r="E82" s="4" t="s">
        <v>43</v>
      </c>
      <c r="F82" s="2" t="s">
        <v>26</v>
      </c>
      <c r="G82" s="2" t="str">
        <f>_xlfn.XLOOKUP(Table2[[#This Row],[operator_id]],Operators[operator_id],Operators[operator_name])</f>
        <v>M. Chen</v>
      </c>
      <c r="H82" s="2" t="s">
        <v>34</v>
      </c>
      <c r="I82" s="5">
        <v>797.3</v>
      </c>
      <c r="J82" s="5">
        <v>3935.8</v>
      </c>
      <c r="K82" s="5">
        <v>467.9</v>
      </c>
      <c r="L82" s="5">
        <v>409.6</v>
      </c>
      <c r="M82" s="51">
        <v>-58.3</v>
      </c>
      <c r="N82" s="57">
        <v>-0.1246</v>
      </c>
      <c r="O82" s="8">
        <v>17.8</v>
      </c>
      <c r="P82" s="9">
        <v>18.850000000000001</v>
      </c>
      <c r="Q82" s="8">
        <v>68.900000000000006</v>
      </c>
      <c r="R82" s="19">
        <v>71.3</v>
      </c>
      <c r="S82" s="8">
        <v>1</v>
      </c>
      <c r="T82" s="4"/>
      <c r="U82" s="4">
        <f t="shared" si="1"/>
        <v>0</v>
      </c>
      <c r="V82" s="20" t="s">
        <v>38</v>
      </c>
      <c r="X82" s="2" t="s">
        <v>217</v>
      </c>
      <c r="Y82" s="4" t="s">
        <v>66</v>
      </c>
    </row>
    <row r="83" spans="1:25" x14ac:dyDescent="0.35">
      <c r="A83" s="11" t="s">
        <v>218</v>
      </c>
      <c r="B83" s="50">
        <v>45038</v>
      </c>
      <c r="C83" s="11" t="s">
        <v>31</v>
      </c>
      <c r="D83" s="13" t="s">
        <v>92</v>
      </c>
      <c r="E83" s="13" t="s">
        <v>89</v>
      </c>
      <c r="F83" s="11" t="s">
        <v>44</v>
      </c>
      <c r="G83" s="11" t="str">
        <f>_xlfn.XLOOKUP(Table2[[#This Row],[operator_id]],Operators[operator_id],Operators[operator_name])</f>
        <v>K. Fraser</v>
      </c>
      <c r="H83" s="11" t="s">
        <v>27</v>
      </c>
      <c r="I83" s="14">
        <v>843</v>
      </c>
      <c r="J83" s="14">
        <v>4160.6000000000004</v>
      </c>
      <c r="K83" s="14">
        <v>488.7</v>
      </c>
      <c r="L83" s="14">
        <v>510</v>
      </c>
      <c r="M83" s="18">
        <v>21.3</v>
      </c>
      <c r="N83" s="55">
        <v>4.36E-2</v>
      </c>
      <c r="O83" s="17">
        <v>15.9</v>
      </c>
      <c r="P83" s="18">
        <v>12.86</v>
      </c>
      <c r="Q83" s="17">
        <v>60.9</v>
      </c>
      <c r="R83" s="19">
        <v>58.5</v>
      </c>
      <c r="S83" s="17">
        <v>0</v>
      </c>
      <c r="T83" s="13"/>
      <c r="U83" s="4">
        <f t="shared" si="1"/>
        <v>1</v>
      </c>
      <c r="V83" s="10" t="s">
        <v>28</v>
      </c>
      <c r="X83" s="11" t="s">
        <v>219</v>
      </c>
      <c r="Y83" s="13" t="s">
        <v>61</v>
      </c>
    </row>
    <row r="84" spans="1:25" x14ac:dyDescent="0.35">
      <c r="A84" s="2" t="s">
        <v>220</v>
      </c>
      <c r="B84" s="49">
        <v>45038</v>
      </c>
      <c r="C84" s="2" t="s">
        <v>97</v>
      </c>
      <c r="D84" s="4" t="s">
        <v>54</v>
      </c>
      <c r="E84" s="4" t="s">
        <v>89</v>
      </c>
      <c r="F84" s="2" t="s">
        <v>26</v>
      </c>
      <c r="G84" s="2" t="str">
        <f>_xlfn.XLOOKUP(Table2[[#This Row],[operator_id]],Operators[operator_id],Operators[operator_name])</f>
        <v>M. Chen</v>
      </c>
      <c r="H84" s="2" t="s">
        <v>34</v>
      </c>
      <c r="I84" s="5">
        <v>1097.8</v>
      </c>
      <c r="J84" s="5">
        <v>4107.5</v>
      </c>
      <c r="K84" s="5">
        <v>651.5</v>
      </c>
      <c r="L84" s="5">
        <v>575.6</v>
      </c>
      <c r="M84" s="51">
        <v>-75.900000000000006</v>
      </c>
      <c r="N84" s="57">
        <v>-0.11650000000000001</v>
      </c>
      <c r="O84" s="8">
        <v>13.4</v>
      </c>
      <c r="P84" s="9">
        <v>13.6</v>
      </c>
      <c r="Q84" s="8">
        <v>66.099999999999994</v>
      </c>
      <c r="R84" s="19">
        <v>68.599999999999994</v>
      </c>
      <c r="S84" s="8">
        <v>0.5</v>
      </c>
      <c r="T84" s="4"/>
      <c r="U84" s="4">
        <f t="shared" si="1"/>
        <v>1</v>
      </c>
      <c r="V84" s="10" t="s">
        <v>28</v>
      </c>
      <c r="X84" s="2" t="s">
        <v>221</v>
      </c>
      <c r="Y84" s="4" t="s">
        <v>66</v>
      </c>
    </row>
    <row r="85" spans="1:25" x14ac:dyDescent="0.35">
      <c r="A85" s="11" t="s">
        <v>222</v>
      </c>
      <c r="B85" s="50">
        <v>45039</v>
      </c>
      <c r="C85" s="11" t="s">
        <v>23</v>
      </c>
      <c r="D85" s="13" t="s">
        <v>92</v>
      </c>
      <c r="E85" s="13" t="s">
        <v>48</v>
      </c>
      <c r="F85" s="11" t="s">
        <v>55</v>
      </c>
      <c r="G85" s="11" t="str">
        <f>_xlfn.XLOOKUP(Table2[[#This Row],[operator_id]],Operators[operator_id],Operators[operator_name])</f>
        <v>T. Dinesh</v>
      </c>
      <c r="H85" s="11" t="s">
        <v>34</v>
      </c>
      <c r="I85" s="14">
        <v>537</v>
      </c>
      <c r="J85" s="14">
        <v>1981.9</v>
      </c>
      <c r="K85" s="14">
        <v>312.2</v>
      </c>
      <c r="L85" s="14">
        <v>306.2</v>
      </c>
      <c r="M85" s="52">
        <v>-6</v>
      </c>
      <c r="N85" s="56">
        <v>-1.9199999999999998E-2</v>
      </c>
      <c r="O85" s="17">
        <v>17</v>
      </c>
      <c r="P85" s="18">
        <v>14.34</v>
      </c>
      <c r="Q85" s="17">
        <v>69.7</v>
      </c>
      <c r="R85" s="17">
        <v>71.2</v>
      </c>
      <c r="S85" s="17">
        <v>2</v>
      </c>
      <c r="T85" s="13" t="s">
        <v>86</v>
      </c>
      <c r="U85" s="4">
        <f t="shared" si="1"/>
        <v>1</v>
      </c>
      <c r="V85" s="10" t="s">
        <v>28</v>
      </c>
      <c r="X85" s="11" t="s">
        <v>223</v>
      </c>
      <c r="Y85" s="13"/>
    </row>
    <row r="86" spans="1:25" x14ac:dyDescent="0.35">
      <c r="A86" s="2" t="s">
        <v>224</v>
      </c>
      <c r="B86" s="49">
        <v>45039</v>
      </c>
      <c r="C86" s="2" t="s">
        <v>42</v>
      </c>
      <c r="D86" s="4" t="s">
        <v>54</v>
      </c>
      <c r="E86" s="4" t="s">
        <v>89</v>
      </c>
      <c r="F86" s="2" t="s">
        <v>59</v>
      </c>
      <c r="G86" s="2" t="str">
        <f>_xlfn.XLOOKUP(Table2[[#This Row],[operator_id]],Operators[operator_id],Operators[operator_name])</f>
        <v>R. Osei</v>
      </c>
      <c r="H86" s="2" t="s">
        <v>27</v>
      </c>
      <c r="I86" s="5">
        <v>1039.9000000000001</v>
      </c>
      <c r="J86" s="5">
        <v>4010.6</v>
      </c>
      <c r="K86" s="5">
        <v>717.4</v>
      </c>
      <c r="L86" s="5">
        <v>698.3</v>
      </c>
      <c r="M86" s="52">
        <v>-19.100000000000001</v>
      </c>
      <c r="N86" s="56">
        <v>-2.6599999999999999E-2</v>
      </c>
      <c r="O86" s="8">
        <v>4.2</v>
      </c>
      <c r="P86" s="9">
        <v>4.8899999999999997</v>
      </c>
      <c r="Q86" s="8">
        <v>65.5</v>
      </c>
      <c r="R86" s="8">
        <v>64.7</v>
      </c>
      <c r="S86" s="8">
        <v>5</v>
      </c>
      <c r="T86" s="4" t="s">
        <v>100</v>
      </c>
      <c r="U86" s="4">
        <f t="shared" si="1"/>
        <v>0</v>
      </c>
      <c r="V86" s="20" t="s">
        <v>38</v>
      </c>
      <c r="X86" s="2" t="s">
        <v>225</v>
      </c>
      <c r="Y86" s="4" t="s">
        <v>40</v>
      </c>
    </row>
    <row r="87" spans="1:25" x14ac:dyDescent="0.35">
      <c r="A87" s="11" t="s">
        <v>226</v>
      </c>
      <c r="B87" s="50">
        <v>45041</v>
      </c>
      <c r="C87" s="11" t="s">
        <v>51</v>
      </c>
      <c r="D87" s="13" t="s">
        <v>54</v>
      </c>
      <c r="E87" s="13" t="s">
        <v>105</v>
      </c>
      <c r="F87" s="11" t="s">
        <v>26</v>
      </c>
      <c r="G87" s="11" t="str">
        <f>_xlfn.XLOOKUP(Table2[[#This Row],[operator_id]],Operators[operator_id],Operators[operator_name])</f>
        <v>M. Chen</v>
      </c>
      <c r="H87" s="11" t="s">
        <v>34</v>
      </c>
      <c r="I87" s="14">
        <v>691.7</v>
      </c>
      <c r="J87" s="14">
        <v>2773.2</v>
      </c>
      <c r="K87" s="14">
        <v>469.9</v>
      </c>
      <c r="L87" s="14">
        <v>479.7</v>
      </c>
      <c r="M87" s="18">
        <v>9.8000000000000007</v>
      </c>
      <c r="N87" s="55">
        <v>2.0899999999999998E-2</v>
      </c>
      <c r="O87" s="17">
        <v>8.5</v>
      </c>
      <c r="P87" s="18">
        <v>8.0399999999999991</v>
      </c>
      <c r="Q87" s="17">
        <v>68.3</v>
      </c>
      <c r="R87" s="19">
        <v>66.099999999999994</v>
      </c>
      <c r="S87" s="17">
        <v>0</v>
      </c>
      <c r="T87" s="13"/>
      <c r="U87" s="4">
        <f t="shared" si="1"/>
        <v>0</v>
      </c>
      <c r="V87" s="20" t="s">
        <v>38</v>
      </c>
      <c r="X87" s="11" t="s">
        <v>227</v>
      </c>
      <c r="Y87" s="13" t="s">
        <v>61</v>
      </c>
    </row>
    <row r="88" spans="1:25" x14ac:dyDescent="0.35">
      <c r="A88" s="2" t="s">
        <v>228</v>
      </c>
      <c r="B88" s="49">
        <v>45044</v>
      </c>
      <c r="C88" s="2" t="s">
        <v>23</v>
      </c>
      <c r="D88" s="4" t="s">
        <v>54</v>
      </c>
      <c r="E88" s="4" t="s">
        <v>25</v>
      </c>
      <c r="F88" s="2" t="s">
        <v>44</v>
      </c>
      <c r="G88" s="2" t="str">
        <f>_xlfn.XLOOKUP(Table2[[#This Row],[operator_id]],Operators[operator_id],Operators[operator_name])</f>
        <v>K. Fraser</v>
      </c>
      <c r="H88" s="2" t="s">
        <v>27</v>
      </c>
      <c r="I88" s="5">
        <v>1009.9</v>
      </c>
      <c r="J88" s="5">
        <v>5169.7</v>
      </c>
      <c r="K88" s="5">
        <v>649.1</v>
      </c>
      <c r="L88" s="5">
        <v>646.70000000000005</v>
      </c>
      <c r="M88" s="52">
        <v>-2.4</v>
      </c>
      <c r="N88" s="56">
        <v>-3.7000000000000002E-3</v>
      </c>
      <c r="O88" s="8">
        <v>17.100000000000001</v>
      </c>
      <c r="P88" s="9">
        <v>22.78</v>
      </c>
      <c r="Q88" s="8">
        <v>61.5</v>
      </c>
      <c r="R88" s="19">
        <v>59.4</v>
      </c>
      <c r="S88" s="8">
        <v>3</v>
      </c>
      <c r="T88" s="4" t="s">
        <v>86</v>
      </c>
      <c r="U88" s="4">
        <f t="shared" si="1"/>
        <v>0</v>
      </c>
      <c r="V88" s="20" t="s">
        <v>38</v>
      </c>
      <c r="X88" s="2" t="s">
        <v>229</v>
      </c>
      <c r="Y88" s="4" t="s">
        <v>61</v>
      </c>
    </row>
    <row r="89" spans="1:25" x14ac:dyDescent="0.35">
      <c r="A89" s="11" t="s">
        <v>230</v>
      </c>
      <c r="B89" s="50">
        <v>45047</v>
      </c>
      <c r="C89" s="11" t="s">
        <v>31</v>
      </c>
      <c r="D89" s="13" t="s">
        <v>75</v>
      </c>
      <c r="E89" s="13" t="s">
        <v>89</v>
      </c>
      <c r="F89" s="11" t="s">
        <v>33</v>
      </c>
      <c r="G89" s="11" t="str">
        <f>_xlfn.XLOOKUP(Table2[[#This Row],[operator_id]],Operators[operator_id],Operators[operator_name])</f>
        <v>S. Patel</v>
      </c>
      <c r="H89" s="11" t="s">
        <v>27</v>
      </c>
      <c r="I89" s="14">
        <v>450.6</v>
      </c>
      <c r="J89" s="14">
        <v>2413.8000000000002</v>
      </c>
      <c r="K89" s="14">
        <v>309.5</v>
      </c>
      <c r="L89" s="14">
        <v>313.89999999999998</v>
      </c>
      <c r="M89" s="18">
        <v>4.4000000000000004</v>
      </c>
      <c r="N89" s="55">
        <v>1.4200000000000001E-2</v>
      </c>
      <c r="O89" s="17">
        <v>14.6</v>
      </c>
      <c r="P89" s="18">
        <v>18.91</v>
      </c>
      <c r="Q89" s="17">
        <v>66.2</v>
      </c>
      <c r="R89" s="17">
        <v>65.400000000000006</v>
      </c>
      <c r="S89" s="17">
        <v>0</v>
      </c>
      <c r="T89" s="13"/>
      <c r="U89" s="4">
        <f t="shared" si="1"/>
        <v>1</v>
      </c>
      <c r="V89" s="10" t="s">
        <v>28</v>
      </c>
      <c r="X89" s="11" t="s">
        <v>231</v>
      </c>
      <c r="Y89" s="13"/>
    </row>
    <row r="90" spans="1:25" x14ac:dyDescent="0.35">
      <c r="A90" s="2" t="s">
        <v>232</v>
      </c>
      <c r="B90" s="49">
        <v>45049</v>
      </c>
      <c r="C90" s="2" t="s">
        <v>31</v>
      </c>
      <c r="D90" s="4" t="s">
        <v>54</v>
      </c>
      <c r="E90" s="4" t="s">
        <v>89</v>
      </c>
      <c r="F90" s="2" t="s">
        <v>55</v>
      </c>
      <c r="G90" s="2" t="str">
        <f>_xlfn.XLOOKUP(Table2[[#This Row],[operator_id]],Operators[operator_id],Operators[operator_name])</f>
        <v>T. Dinesh</v>
      </c>
      <c r="H90" s="2" t="s">
        <v>27</v>
      </c>
      <c r="I90" s="5">
        <v>865</v>
      </c>
      <c r="J90" s="5">
        <v>3149.6</v>
      </c>
      <c r="K90" s="5">
        <v>592.9</v>
      </c>
      <c r="L90" s="5">
        <v>598.20000000000005</v>
      </c>
      <c r="M90" s="9">
        <v>5.3</v>
      </c>
      <c r="N90" s="54">
        <v>8.8999999999999999E-3</v>
      </c>
      <c r="O90" s="8">
        <v>6.7</v>
      </c>
      <c r="P90" s="9">
        <v>6.27</v>
      </c>
      <c r="Q90" s="8">
        <v>64.3</v>
      </c>
      <c r="R90" s="19">
        <v>62.7</v>
      </c>
      <c r="S90" s="8">
        <v>0</v>
      </c>
      <c r="T90" s="4"/>
      <c r="U90" s="4">
        <f t="shared" si="1"/>
        <v>1</v>
      </c>
      <c r="V90" s="10" t="s">
        <v>28</v>
      </c>
      <c r="X90" s="2" t="s">
        <v>233</v>
      </c>
      <c r="Y90" s="4"/>
    </row>
    <row r="91" spans="1:25" x14ac:dyDescent="0.35">
      <c r="A91" s="11" t="s">
        <v>234</v>
      </c>
      <c r="B91" s="50">
        <v>45051</v>
      </c>
      <c r="C91" s="11" t="s">
        <v>97</v>
      </c>
      <c r="D91" s="13" t="s">
        <v>75</v>
      </c>
      <c r="E91" s="13" t="s">
        <v>105</v>
      </c>
      <c r="F91" s="11" t="s">
        <v>55</v>
      </c>
      <c r="G91" s="11" t="str">
        <f>_xlfn.XLOOKUP(Table2[[#This Row],[operator_id]],Operators[operator_id],Operators[operator_name])</f>
        <v>T. Dinesh</v>
      </c>
      <c r="H91" s="11" t="s">
        <v>34</v>
      </c>
      <c r="I91" s="14">
        <v>496.4</v>
      </c>
      <c r="J91" s="14">
        <v>1835.2</v>
      </c>
      <c r="K91" s="14">
        <v>278</v>
      </c>
      <c r="L91" s="14">
        <v>275.10000000000002</v>
      </c>
      <c r="M91" s="52">
        <v>-2.9</v>
      </c>
      <c r="N91" s="56">
        <v>-1.04E-2</v>
      </c>
      <c r="O91" s="17">
        <v>15.4</v>
      </c>
      <c r="P91" s="18">
        <v>15.69</v>
      </c>
      <c r="Q91" s="17">
        <v>66.7</v>
      </c>
      <c r="R91" s="17">
        <v>66</v>
      </c>
      <c r="S91" s="17">
        <v>0</v>
      </c>
      <c r="T91" s="13"/>
      <c r="U91" s="4">
        <f t="shared" si="1"/>
        <v>1</v>
      </c>
      <c r="V91" s="10" t="s">
        <v>28</v>
      </c>
      <c r="X91" s="11" t="s">
        <v>235</v>
      </c>
      <c r="Y91" s="13"/>
    </row>
    <row r="92" spans="1:25" x14ac:dyDescent="0.35">
      <c r="A92" s="2" t="s">
        <v>236</v>
      </c>
      <c r="B92" s="49">
        <v>45054</v>
      </c>
      <c r="C92" s="2" t="s">
        <v>51</v>
      </c>
      <c r="D92" s="4" t="s">
        <v>92</v>
      </c>
      <c r="E92" s="4" t="s">
        <v>25</v>
      </c>
      <c r="F92" s="2" t="s">
        <v>44</v>
      </c>
      <c r="G92" s="2" t="str">
        <f>_xlfn.XLOOKUP(Table2[[#This Row],[operator_id]],Operators[operator_id],Operators[operator_name])</f>
        <v>K. Fraser</v>
      </c>
      <c r="H92" s="2" t="s">
        <v>27</v>
      </c>
      <c r="I92" s="5">
        <v>1167.2</v>
      </c>
      <c r="J92" s="5">
        <v>5517.5</v>
      </c>
      <c r="K92" s="5">
        <v>680.2</v>
      </c>
      <c r="L92" s="5">
        <v>670.5</v>
      </c>
      <c r="M92" s="52">
        <v>-9.6999999999999993</v>
      </c>
      <c r="N92" s="56">
        <v>-1.43E-2</v>
      </c>
      <c r="O92" s="8">
        <v>16.399999999999999</v>
      </c>
      <c r="P92" s="9">
        <v>13.74</v>
      </c>
      <c r="Q92" s="8">
        <v>66.400000000000006</v>
      </c>
      <c r="R92" s="8">
        <v>65.8</v>
      </c>
      <c r="S92" s="8">
        <v>0</v>
      </c>
      <c r="T92" s="4"/>
      <c r="U92" s="4">
        <f t="shared" si="1"/>
        <v>1</v>
      </c>
      <c r="V92" s="10" t="s">
        <v>28</v>
      </c>
      <c r="X92" s="2" t="s">
        <v>237</v>
      </c>
      <c r="Y92" s="4"/>
    </row>
    <row r="93" spans="1:25" x14ac:dyDescent="0.35">
      <c r="A93" s="11" t="s">
        <v>238</v>
      </c>
      <c r="B93" s="50">
        <v>45056</v>
      </c>
      <c r="C93" s="11" t="s">
        <v>51</v>
      </c>
      <c r="D93" s="13" t="s">
        <v>24</v>
      </c>
      <c r="E93" s="13" t="s">
        <v>48</v>
      </c>
      <c r="F93" s="11" t="s">
        <v>55</v>
      </c>
      <c r="G93" s="11" t="str">
        <f>_xlfn.XLOOKUP(Table2[[#This Row],[operator_id]],Operators[operator_id],Operators[operator_name])</f>
        <v>T. Dinesh</v>
      </c>
      <c r="H93" s="11" t="s">
        <v>27</v>
      </c>
      <c r="I93" s="14">
        <v>476.7</v>
      </c>
      <c r="J93" s="14">
        <v>1832.6</v>
      </c>
      <c r="K93" s="14">
        <v>283.60000000000002</v>
      </c>
      <c r="L93" s="14">
        <v>290.60000000000002</v>
      </c>
      <c r="M93" s="18">
        <v>7</v>
      </c>
      <c r="N93" s="55">
        <v>2.47E-2</v>
      </c>
      <c r="O93" s="17">
        <v>10.6</v>
      </c>
      <c r="P93" s="18">
        <v>13.38</v>
      </c>
      <c r="Q93" s="17">
        <v>67.7</v>
      </c>
      <c r="R93" s="17">
        <v>67.8</v>
      </c>
      <c r="S93" s="17">
        <v>5</v>
      </c>
      <c r="T93" s="13" t="s">
        <v>239</v>
      </c>
      <c r="U93" s="4">
        <f t="shared" si="1"/>
        <v>0</v>
      </c>
      <c r="V93" s="20" t="s">
        <v>38</v>
      </c>
      <c r="X93" s="11" t="s">
        <v>240</v>
      </c>
      <c r="Y93" s="13" t="s">
        <v>40</v>
      </c>
    </row>
    <row r="94" spans="1:25" x14ac:dyDescent="0.35">
      <c r="A94" s="2" t="s">
        <v>241</v>
      </c>
      <c r="B94" s="49">
        <v>45062</v>
      </c>
      <c r="C94" s="2" t="s">
        <v>31</v>
      </c>
      <c r="D94" s="4" t="s">
        <v>75</v>
      </c>
      <c r="E94" s="4" t="s">
        <v>25</v>
      </c>
      <c r="F94" s="2" t="s">
        <v>55</v>
      </c>
      <c r="G94" s="2" t="str">
        <f>_xlfn.XLOOKUP(Table2[[#This Row],[operator_id]],Operators[operator_id],Operators[operator_name])</f>
        <v>T. Dinesh</v>
      </c>
      <c r="H94" s="2" t="s">
        <v>34</v>
      </c>
      <c r="I94" s="5">
        <v>862.5</v>
      </c>
      <c r="J94" s="5">
        <v>4072.7</v>
      </c>
      <c r="K94" s="5">
        <v>540.1</v>
      </c>
      <c r="L94" s="5">
        <v>534</v>
      </c>
      <c r="M94" s="52">
        <v>-6.1</v>
      </c>
      <c r="N94" s="56">
        <v>-1.1299999999999999E-2</v>
      </c>
      <c r="O94" s="8">
        <v>8.9</v>
      </c>
      <c r="P94" s="9">
        <v>7.93</v>
      </c>
      <c r="Q94" s="8">
        <v>68.599999999999994</v>
      </c>
      <c r="R94" s="8">
        <v>68.5</v>
      </c>
      <c r="S94" s="8">
        <v>0</v>
      </c>
      <c r="T94" s="4"/>
      <c r="U94" s="4">
        <f t="shared" si="1"/>
        <v>1</v>
      </c>
      <c r="V94" s="10" t="s">
        <v>28</v>
      </c>
      <c r="X94" s="2" t="s">
        <v>242</v>
      </c>
      <c r="Y94" s="4"/>
    </row>
    <row r="95" spans="1:25" x14ac:dyDescent="0.35">
      <c r="A95" s="11" t="s">
        <v>243</v>
      </c>
      <c r="B95" s="50">
        <v>45065</v>
      </c>
      <c r="C95" s="11" t="s">
        <v>31</v>
      </c>
      <c r="D95" s="13" t="s">
        <v>24</v>
      </c>
      <c r="E95" s="13" t="s">
        <v>89</v>
      </c>
      <c r="F95" s="11" t="s">
        <v>55</v>
      </c>
      <c r="G95" s="11" t="str">
        <f>_xlfn.XLOOKUP(Table2[[#This Row],[operator_id]],Operators[operator_id],Operators[operator_name])</f>
        <v>T. Dinesh</v>
      </c>
      <c r="H95" s="11" t="s">
        <v>34</v>
      </c>
      <c r="I95" s="14">
        <v>1023.6</v>
      </c>
      <c r="J95" s="14">
        <v>5200.3</v>
      </c>
      <c r="K95" s="14">
        <v>578.29999999999995</v>
      </c>
      <c r="L95" s="14">
        <v>571.4</v>
      </c>
      <c r="M95" s="52">
        <v>-6.9</v>
      </c>
      <c r="N95" s="56">
        <v>-1.1900000000000001E-2</v>
      </c>
      <c r="O95" s="17">
        <v>17</v>
      </c>
      <c r="P95" s="18">
        <v>20.63</v>
      </c>
      <c r="Q95" s="17">
        <v>64</v>
      </c>
      <c r="R95" s="19">
        <v>65.599999999999994</v>
      </c>
      <c r="S95" s="17">
        <v>0.5</v>
      </c>
      <c r="T95" s="13"/>
      <c r="U95" s="4">
        <f t="shared" si="1"/>
        <v>1</v>
      </c>
      <c r="V95" s="10" t="s">
        <v>28</v>
      </c>
      <c r="X95" s="11" t="s">
        <v>244</v>
      </c>
      <c r="Y95" s="13"/>
    </row>
    <row r="96" spans="1:25" x14ac:dyDescent="0.35">
      <c r="A96" s="2" t="s">
        <v>245</v>
      </c>
      <c r="B96" s="49">
        <v>45067</v>
      </c>
      <c r="C96" s="2" t="s">
        <v>51</v>
      </c>
      <c r="D96" s="4" t="s">
        <v>37</v>
      </c>
      <c r="E96" s="4" t="s">
        <v>89</v>
      </c>
      <c r="F96" s="2" t="s">
        <v>33</v>
      </c>
      <c r="G96" s="2" t="str">
        <f>_xlfn.XLOOKUP(Table2[[#This Row],[operator_id]],Operators[operator_id],Operators[operator_name])</f>
        <v>S. Patel</v>
      </c>
      <c r="H96" s="2" t="s">
        <v>27</v>
      </c>
      <c r="I96" s="5">
        <v>1061.3</v>
      </c>
      <c r="J96" s="5">
        <v>5703.3</v>
      </c>
      <c r="K96" s="5">
        <v>670.2</v>
      </c>
      <c r="L96" s="5">
        <v>720.1</v>
      </c>
      <c r="M96" s="9">
        <v>49.9</v>
      </c>
      <c r="N96" s="54">
        <v>7.4499999999999997E-2</v>
      </c>
      <c r="O96" s="8">
        <v>10.7</v>
      </c>
      <c r="P96" s="9">
        <v>9.65</v>
      </c>
      <c r="Q96" s="8">
        <v>60.7</v>
      </c>
      <c r="R96" s="8">
        <v>59.4</v>
      </c>
      <c r="S96" s="8">
        <v>0.5</v>
      </c>
      <c r="T96" s="4"/>
      <c r="U96" s="4">
        <f t="shared" si="1"/>
        <v>1</v>
      </c>
      <c r="V96" s="10" t="s">
        <v>28</v>
      </c>
      <c r="X96" s="2" t="s">
        <v>246</v>
      </c>
      <c r="Y96" s="4"/>
    </row>
    <row r="97" spans="1:25" x14ac:dyDescent="0.35">
      <c r="A97" s="11" t="s">
        <v>247</v>
      </c>
      <c r="B97" s="50">
        <v>45068</v>
      </c>
      <c r="C97" s="11" t="s">
        <v>97</v>
      </c>
      <c r="D97" s="13" t="s">
        <v>37</v>
      </c>
      <c r="E97" s="13" t="s">
        <v>43</v>
      </c>
      <c r="F97" s="11" t="s">
        <v>33</v>
      </c>
      <c r="G97" s="11" t="str">
        <f>_xlfn.XLOOKUP(Table2[[#This Row],[operator_id]],Operators[operator_id],Operators[operator_name])</f>
        <v>S. Patel</v>
      </c>
      <c r="H97" s="11" t="s">
        <v>34</v>
      </c>
      <c r="I97" s="14">
        <v>952.9</v>
      </c>
      <c r="J97" s="14">
        <v>3594</v>
      </c>
      <c r="K97" s="14">
        <v>602.4</v>
      </c>
      <c r="L97" s="14">
        <v>595.9</v>
      </c>
      <c r="M97" s="52">
        <v>-6.5</v>
      </c>
      <c r="N97" s="56">
        <v>-1.0800000000000001E-2</v>
      </c>
      <c r="O97" s="17">
        <v>13.6</v>
      </c>
      <c r="P97" s="18">
        <v>14.86</v>
      </c>
      <c r="Q97" s="17">
        <v>66</v>
      </c>
      <c r="R97" s="17">
        <v>66.2</v>
      </c>
      <c r="S97" s="17">
        <v>2</v>
      </c>
      <c r="T97" s="13"/>
      <c r="U97" s="4">
        <f t="shared" si="1"/>
        <v>1</v>
      </c>
      <c r="V97" s="10" t="s">
        <v>28</v>
      </c>
      <c r="X97" s="11" t="s">
        <v>248</v>
      </c>
      <c r="Y97" s="13"/>
    </row>
    <row r="98" spans="1:25" x14ac:dyDescent="0.35">
      <c r="A98" s="2" t="s">
        <v>249</v>
      </c>
      <c r="B98" s="49">
        <v>45069</v>
      </c>
      <c r="C98" s="2" t="s">
        <v>97</v>
      </c>
      <c r="D98" s="4" t="s">
        <v>37</v>
      </c>
      <c r="E98" s="4" t="s">
        <v>25</v>
      </c>
      <c r="F98" s="2" t="s">
        <v>26</v>
      </c>
      <c r="G98" s="2" t="str">
        <f>_xlfn.XLOOKUP(Table2[[#This Row],[operator_id]],Operators[operator_id],Operators[operator_name])</f>
        <v>M. Chen</v>
      </c>
      <c r="H98" s="2" t="s">
        <v>27</v>
      </c>
      <c r="I98" s="5">
        <v>985.3</v>
      </c>
      <c r="J98" s="5">
        <v>4399.3</v>
      </c>
      <c r="K98" s="5">
        <v>637.79999999999995</v>
      </c>
      <c r="L98" s="5">
        <v>645.70000000000005</v>
      </c>
      <c r="M98" s="9">
        <v>7.9</v>
      </c>
      <c r="N98" s="54">
        <v>1.24E-2</v>
      </c>
      <c r="O98" s="8">
        <v>10.4</v>
      </c>
      <c r="P98" s="9">
        <v>13.71</v>
      </c>
      <c r="Q98" s="8">
        <v>61.7</v>
      </c>
      <c r="R98" s="19">
        <v>63.8</v>
      </c>
      <c r="S98" s="8">
        <v>0</v>
      </c>
      <c r="T98" s="4"/>
      <c r="U98" s="4">
        <f t="shared" si="1"/>
        <v>1</v>
      </c>
      <c r="V98" s="10" t="s">
        <v>28</v>
      </c>
      <c r="X98" s="2" t="s">
        <v>250</v>
      </c>
      <c r="Y98" s="4" t="s">
        <v>57</v>
      </c>
    </row>
    <row r="99" spans="1:25" x14ac:dyDescent="0.35">
      <c r="A99" s="11" t="s">
        <v>251</v>
      </c>
      <c r="B99" s="50">
        <v>45071</v>
      </c>
      <c r="C99" s="11" t="s">
        <v>31</v>
      </c>
      <c r="D99" s="13" t="s">
        <v>54</v>
      </c>
      <c r="E99" s="13" t="s">
        <v>43</v>
      </c>
      <c r="F99" s="11" t="s">
        <v>33</v>
      </c>
      <c r="G99" s="11" t="str">
        <f>_xlfn.XLOOKUP(Table2[[#This Row],[operator_id]],Operators[operator_id],Operators[operator_name])</f>
        <v>S. Patel</v>
      </c>
      <c r="H99" s="11" t="s">
        <v>34</v>
      </c>
      <c r="I99" s="14">
        <v>923.1</v>
      </c>
      <c r="J99" s="14">
        <v>4684.2</v>
      </c>
      <c r="K99" s="14">
        <v>583</v>
      </c>
      <c r="L99" s="14">
        <v>585</v>
      </c>
      <c r="M99" s="18">
        <v>2</v>
      </c>
      <c r="N99" s="55">
        <v>3.3999999999999998E-3</v>
      </c>
      <c r="O99" s="17">
        <v>7.6</v>
      </c>
      <c r="P99" s="18">
        <v>8.84</v>
      </c>
      <c r="Q99" s="17">
        <v>63.3</v>
      </c>
      <c r="R99" s="19">
        <v>65.7</v>
      </c>
      <c r="S99" s="17">
        <v>0</v>
      </c>
      <c r="T99" s="13"/>
      <c r="U99" s="4">
        <f t="shared" si="1"/>
        <v>0</v>
      </c>
      <c r="V99" s="20" t="s">
        <v>38</v>
      </c>
      <c r="X99" s="11" t="s">
        <v>252</v>
      </c>
      <c r="Y99" s="13" t="s">
        <v>57</v>
      </c>
    </row>
    <row r="100" spans="1:25" x14ac:dyDescent="0.35">
      <c r="A100" s="2" t="s">
        <v>253</v>
      </c>
      <c r="B100" s="49">
        <v>45072</v>
      </c>
      <c r="C100" s="2" t="s">
        <v>97</v>
      </c>
      <c r="D100" s="4" t="s">
        <v>75</v>
      </c>
      <c r="E100" s="4" t="s">
        <v>48</v>
      </c>
      <c r="F100" s="2" t="s">
        <v>26</v>
      </c>
      <c r="G100" s="2" t="str">
        <f>_xlfn.XLOOKUP(Table2[[#This Row],[operator_id]],Operators[operator_id],Operators[operator_name])</f>
        <v>M. Chen</v>
      </c>
      <c r="H100" s="2" t="s">
        <v>27</v>
      </c>
      <c r="I100" s="5">
        <v>1041.5999999999999</v>
      </c>
      <c r="J100" s="5">
        <v>4124.6000000000004</v>
      </c>
      <c r="K100" s="5">
        <v>635.79999999999995</v>
      </c>
      <c r="L100" s="5">
        <v>630.29999999999995</v>
      </c>
      <c r="M100" s="52">
        <v>-5.5</v>
      </c>
      <c r="N100" s="56">
        <v>-8.6999999999999994E-3</v>
      </c>
      <c r="O100" s="8">
        <v>10.1</v>
      </c>
      <c r="P100" s="9">
        <v>8.9600000000000009</v>
      </c>
      <c r="Q100" s="8">
        <v>60</v>
      </c>
      <c r="R100" s="8">
        <v>61.1</v>
      </c>
      <c r="S100" s="8">
        <v>5</v>
      </c>
      <c r="T100" s="4"/>
      <c r="U100" s="4">
        <f t="shared" si="1"/>
        <v>1</v>
      </c>
      <c r="V100" s="10" t="s">
        <v>28</v>
      </c>
      <c r="X100" s="2" t="s">
        <v>254</v>
      </c>
      <c r="Y100" s="4" t="s">
        <v>40</v>
      </c>
    </row>
    <row r="101" spans="1:25" x14ac:dyDescent="0.35">
      <c r="A101" s="11" t="s">
        <v>255</v>
      </c>
      <c r="B101" s="50">
        <v>45078</v>
      </c>
      <c r="C101" s="11" t="s">
        <v>97</v>
      </c>
      <c r="D101" s="13" t="s">
        <v>92</v>
      </c>
      <c r="E101" s="13" t="s">
        <v>48</v>
      </c>
      <c r="F101" s="11" t="s">
        <v>55</v>
      </c>
      <c r="G101" s="11" t="str">
        <f>_xlfn.XLOOKUP(Table2[[#This Row],[operator_id]],Operators[operator_id],Operators[operator_name])</f>
        <v>T. Dinesh</v>
      </c>
      <c r="H101" s="11" t="s">
        <v>27</v>
      </c>
      <c r="I101" s="14">
        <v>707.4</v>
      </c>
      <c r="J101" s="14">
        <v>2717</v>
      </c>
      <c r="K101" s="14">
        <v>393.6</v>
      </c>
      <c r="L101" s="14">
        <v>398.7</v>
      </c>
      <c r="M101" s="18">
        <v>5.0999999999999996</v>
      </c>
      <c r="N101" s="55">
        <v>1.2999999999999999E-2</v>
      </c>
      <c r="O101" s="17">
        <v>16.399999999999999</v>
      </c>
      <c r="P101" s="18">
        <v>13.46</v>
      </c>
      <c r="Q101" s="17">
        <v>62</v>
      </c>
      <c r="R101" s="17">
        <v>63.1</v>
      </c>
      <c r="S101" s="17">
        <v>5</v>
      </c>
      <c r="T101" s="13" t="s">
        <v>239</v>
      </c>
      <c r="U101" s="4">
        <f t="shared" si="1"/>
        <v>1</v>
      </c>
      <c r="V101" s="10" t="s">
        <v>28</v>
      </c>
      <c r="X101" s="11" t="s">
        <v>256</v>
      </c>
      <c r="Y101" s="13" t="s">
        <v>40</v>
      </c>
    </row>
    <row r="102" spans="1:25" x14ac:dyDescent="0.35">
      <c r="A102" s="2" t="s">
        <v>257</v>
      </c>
      <c r="B102" s="49">
        <v>45079</v>
      </c>
      <c r="C102" s="2" t="s">
        <v>97</v>
      </c>
      <c r="D102" s="4" t="s">
        <v>24</v>
      </c>
      <c r="E102" s="4" t="s">
        <v>89</v>
      </c>
      <c r="F102" s="2" t="s">
        <v>44</v>
      </c>
      <c r="G102" s="2" t="str">
        <f>_xlfn.XLOOKUP(Table2[[#This Row],[operator_id]],Operators[operator_id],Operators[operator_name])</f>
        <v>K. Fraser</v>
      </c>
      <c r="H102" s="2" t="s">
        <v>27</v>
      </c>
      <c r="I102" s="5">
        <v>1088.4000000000001</v>
      </c>
      <c r="J102" s="5">
        <v>3853.4</v>
      </c>
      <c r="K102" s="5">
        <v>608.9</v>
      </c>
      <c r="L102" s="5">
        <v>605.6</v>
      </c>
      <c r="M102" s="52">
        <v>-3.3</v>
      </c>
      <c r="N102" s="56">
        <v>-5.4000000000000003E-3</v>
      </c>
      <c r="O102" s="8">
        <v>11</v>
      </c>
      <c r="P102" s="9">
        <v>14.01</v>
      </c>
      <c r="Q102" s="8">
        <v>66.7</v>
      </c>
      <c r="R102" s="8">
        <v>67.5</v>
      </c>
      <c r="S102" s="8">
        <v>0</v>
      </c>
      <c r="T102" s="4"/>
      <c r="U102" s="4">
        <f t="shared" si="1"/>
        <v>1</v>
      </c>
      <c r="V102" s="10" t="s">
        <v>28</v>
      </c>
      <c r="X102" s="2" t="s">
        <v>258</v>
      </c>
      <c r="Y102" s="4"/>
    </row>
    <row r="103" spans="1:25" x14ac:dyDescent="0.35">
      <c r="A103" s="11" t="s">
        <v>259</v>
      </c>
      <c r="B103" s="50">
        <v>45080</v>
      </c>
      <c r="C103" s="11" t="s">
        <v>42</v>
      </c>
      <c r="D103" s="13" t="s">
        <v>37</v>
      </c>
      <c r="E103" s="13" t="s">
        <v>89</v>
      </c>
      <c r="F103" s="11" t="s">
        <v>55</v>
      </c>
      <c r="G103" s="11" t="str">
        <f>_xlfn.XLOOKUP(Table2[[#This Row],[operator_id]],Operators[operator_id],Operators[operator_name])</f>
        <v>T. Dinesh</v>
      </c>
      <c r="H103" s="11" t="s">
        <v>27</v>
      </c>
      <c r="I103" s="14">
        <v>577.20000000000005</v>
      </c>
      <c r="J103" s="14">
        <v>2772.4</v>
      </c>
      <c r="K103" s="14">
        <v>375.6</v>
      </c>
      <c r="L103" s="14">
        <v>372.5</v>
      </c>
      <c r="M103" s="52">
        <v>-3.1</v>
      </c>
      <c r="N103" s="56">
        <v>-8.3000000000000001E-3</v>
      </c>
      <c r="O103" s="17">
        <v>17.100000000000001</v>
      </c>
      <c r="P103" s="18">
        <v>19.86</v>
      </c>
      <c r="Q103" s="17">
        <v>61</v>
      </c>
      <c r="R103" s="17">
        <v>59.5</v>
      </c>
      <c r="S103" s="17">
        <v>0.5</v>
      </c>
      <c r="T103" s="13" t="s">
        <v>100</v>
      </c>
      <c r="U103" s="4">
        <f t="shared" si="1"/>
        <v>1</v>
      </c>
      <c r="V103" s="10" t="s">
        <v>28</v>
      </c>
      <c r="X103" s="11" t="s">
        <v>260</v>
      </c>
      <c r="Y103" s="13"/>
    </row>
    <row r="104" spans="1:25" x14ac:dyDescent="0.35">
      <c r="A104" s="2" t="s">
        <v>261</v>
      </c>
      <c r="B104" s="49">
        <v>45081</v>
      </c>
      <c r="C104" s="2" t="s">
        <v>97</v>
      </c>
      <c r="D104" s="4" t="s">
        <v>37</v>
      </c>
      <c r="E104" s="4" t="s">
        <v>105</v>
      </c>
      <c r="F104" s="2" t="s">
        <v>44</v>
      </c>
      <c r="G104" s="2" t="str">
        <f>_xlfn.XLOOKUP(Table2[[#This Row],[operator_id]],Operators[operator_id],Operators[operator_name])</f>
        <v>K. Fraser</v>
      </c>
      <c r="H104" s="2" t="s">
        <v>34</v>
      </c>
      <c r="I104" s="5">
        <v>1049</v>
      </c>
      <c r="J104" s="5">
        <v>3818.1</v>
      </c>
      <c r="K104" s="5">
        <v>640.29999999999995</v>
      </c>
      <c r="L104" s="5">
        <v>690.4</v>
      </c>
      <c r="M104" s="9">
        <v>50.1</v>
      </c>
      <c r="N104" s="54">
        <v>7.8200000000000006E-2</v>
      </c>
      <c r="O104" s="8">
        <v>17</v>
      </c>
      <c r="P104" s="9">
        <v>17.22</v>
      </c>
      <c r="Q104" s="8">
        <v>67.400000000000006</v>
      </c>
      <c r="R104" s="19">
        <v>69.8</v>
      </c>
      <c r="S104" s="8">
        <v>0</v>
      </c>
      <c r="T104" s="4"/>
      <c r="U104" s="4">
        <f t="shared" si="1"/>
        <v>1</v>
      </c>
      <c r="V104" s="10" t="s">
        <v>28</v>
      </c>
      <c r="X104" s="2" t="s">
        <v>262</v>
      </c>
      <c r="Y104" s="4" t="s">
        <v>57</v>
      </c>
    </row>
    <row r="105" spans="1:25" x14ac:dyDescent="0.35">
      <c r="A105" s="11" t="s">
        <v>263</v>
      </c>
      <c r="B105" s="50">
        <v>45081</v>
      </c>
      <c r="C105" s="11" t="s">
        <v>97</v>
      </c>
      <c r="D105" s="13" t="s">
        <v>37</v>
      </c>
      <c r="E105" s="13" t="s">
        <v>89</v>
      </c>
      <c r="F105" s="11" t="s">
        <v>33</v>
      </c>
      <c r="G105" s="11" t="str">
        <f>_xlfn.XLOOKUP(Table2[[#This Row],[operator_id]],Operators[operator_id],Operators[operator_name])</f>
        <v>S. Patel</v>
      </c>
      <c r="H105" s="11" t="s">
        <v>27</v>
      </c>
      <c r="I105" s="14">
        <v>445.8</v>
      </c>
      <c r="J105" s="14">
        <v>2266.6999999999998</v>
      </c>
      <c r="K105" s="14">
        <v>315.60000000000002</v>
      </c>
      <c r="L105" s="14">
        <v>311.10000000000002</v>
      </c>
      <c r="M105" s="52">
        <v>-4.5</v>
      </c>
      <c r="N105" s="56">
        <v>-1.43E-2</v>
      </c>
      <c r="O105" s="17">
        <v>11.4</v>
      </c>
      <c r="P105" s="18">
        <v>11.27</v>
      </c>
      <c r="Q105" s="17">
        <v>66</v>
      </c>
      <c r="R105" s="19">
        <v>63.6</v>
      </c>
      <c r="S105" s="17">
        <v>0</v>
      </c>
      <c r="T105" s="13"/>
      <c r="U105" s="4">
        <f t="shared" si="1"/>
        <v>1</v>
      </c>
      <c r="V105" s="10" t="s">
        <v>28</v>
      </c>
      <c r="X105" s="11" t="s">
        <v>264</v>
      </c>
      <c r="Y105" s="13" t="s">
        <v>61</v>
      </c>
    </row>
    <row r="106" spans="1:25" x14ac:dyDescent="0.35">
      <c r="A106" s="2" t="s">
        <v>265</v>
      </c>
      <c r="B106" s="49">
        <v>45081</v>
      </c>
      <c r="C106" s="2" t="s">
        <v>23</v>
      </c>
      <c r="D106" s="4" t="s">
        <v>37</v>
      </c>
      <c r="E106" s="4" t="s">
        <v>48</v>
      </c>
      <c r="F106" s="2" t="s">
        <v>44</v>
      </c>
      <c r="G106" s="2" t="str">
        <f>_xlfn.XLOOKUP(Table2[[#This Row],[operator_id]],Operators[operator_id],Operators[operator_name])</f>
        <v>K. Fraser</v>
      </c>
      <c r="H106" s="2" t="s">
        <v>27</v>
      </c>
      <c r="I106" s="5">
        <v>1090.7</v>
      </c>
      <c r="J106" s="5">
        <v>4392.8999999999996</v>
      </c>
      <c r="K106" s="5">
        <v>725.7</v>
      </c>
      <c r="L106" s="5">
        <v>739.7</v>
      </c>
      <c r="M106" s="9">
        <v>14</v>
      </c>
      <c r="N106" s="54">
        <v>1.9300000000000001E-2</v>
      </c>
      <c r="O106" s="8">
        <v>14.6</v>
      </c>
      <c r="P106" s="9">
        <v>14.53</v>
      </c>
      <c r="Q106" s="8">
        <v>61.6</v>
      </c>
      <c r="R106" s="8">
        <v>61</v>
      </c>
      <c r="S106" s="8">
        <v>0</v>
      </c>
      <c r="T106" s="4"/>
      <c r="U106" s="4">
        <f t="shared" si="1"/>
        <v>1</v>
      </c>
      <c r="V106" s="10" t="s">
        <v>28</v>
      </c>
      <c r="X106" s="2" t="s">
        <v>266</v>
      </c>
      <c r="Y106" s="4"/>
    </row>
    <row r="107" spans="1:25" x14ac:dyDescent="0.35">
      <c r="A107" s="11" t="s">
        <v>267</v>
      </c>
      <c r="B107" s="50">
        <v>45088</v>
      </c>
      <c r="C107" s="11" t="s">
        <v>51</v>
      </c>
      <c r="D107" s="13" t="s">
        <v>92</v>
      </c>
      <c r="E107" s="13" t="s">
        <v>43</v>
      </c>
      <c r="F107" s="11" t="s">
        <v>26</v>
      </c>
      <c r="G107" s="11" t="str">
        <f>_xlfn.XLOOKUP(Table2[[#This Row],[operator_id]],Operators[operator_id],Operators[operator_name])</f>
        <v>M. Chen</v>
      </c>
      <c r="H107" s="11" t="s">
        <v>34</v>
      </c>
      <c r="I107" s="14">
        <v>692.1</v>
      </c>
      <c r="J107" s="14">
        <v>2679.9</v>
      </c>
      <c r="K107" s="14">
        <v>384.9</v>
      </c>
      <c r="L107" s="14">
        <v>348.9</v>
      </c>
      <c r="M107" s="51">
        <v>-36</v>
      </c>
      <c r="N107" s="57">
        <v>-9.35E-2</v>
      </c>
      <c r="O107" s="17">
        <v>11.9</v>
      </c>
      <c r="P107" s="18">
        <v>15.48</v>
      </c>
      <c r="Q107" s="17">
        <v>68.2</v>
      </c>
      <c r="R107" s="17">
        <v>67.7</v>
      </c>
      <c r="S107" s="17">
        <v>0</v>
      </c>
      <c r="T107" s="13"/>
      <c r="U107" s="4">
        <f t="shared" si="1"/>
        <v>1</v>
      </c>
      <c r="V107" s="10" t="s">
        <v>28</v>
      </c>
      <c r="X107" s="11" t="s">
        <v>268</v>
      </c>
      <c r="Y107" s="13" t="s">
        <v>66</v>
      </c>
    </row>
    <row r="108" spans="1:25" x14ac:dyDescent="0.35">
      <c r="A108" s="2" t="s">
        <v>269</v>
      </c>
      <c r="B108" s="49">
        <v>45088</v>
      </c>
      <c r="C108" s="2" t="s">
        <v>31</v>
      </c>
      <c r="D108" s="4" t="s">
        <v>54</v>
      </c>
      <c r="E108" s="4" t="s">
        <v>105</v>
      </c>
      <c r="F108" s="2" t="s">
        <v>33</v>
      </c>
      <c r="G108" s="2" t="str">
        <f>_xlfn.XLOOKUP(Table2[[#This Row],[operator_id]],Operators[operator_id],Operators[operator_name])</f>
        <v>S. Patel</v>
      </c>
      <c r="H108" s="2" t="s">
        <v>27</v>
      </c>
      <c r="I108" s="5">
        <v>949.7</v>
      </c>
      <c r="J108" s="5">
        <v>4324.2</v>
      </c>
      <c r="K108" s="5">
        <v>542.79999999999995</v>
      </c>
      <c r="L108" s="5">
        <v>580.9</v>
      </c>
      <c r="M108" s="9">
        <v>38.1</v>
      </c>
      <c r="N108" s="54">
        <v>7.0199999999999999E-2</v>
      </c>
      <c r="O108" s="8">
        <v>17</v>
      </c>
      <c r="P108" s="9">
        <v>19.41</v>
      </c>
      <c r="Q108" s="8">
        <v>60.6</v>
      </c>
      <c r="R108" s="19">
        <v>58.3</v>
      </c>
      <c r="S108" s="8">
        <v>1</v>
      </c>
      <c r="T108" s="4"/>
      <c r="U108" s="4">
        <f t="shared" si="1"/>
        <v>1</v>
      </c>
      <c r="V108" s="10" t="s">
        <v>28</v>
      </c>
      <c r="X108" s="2" t="s">
        <v>270</v>
      </c>
      <c r="Y108" s="4" t="s">
        <v>61</v>
      </c>
    </row>
    <row r="109" spans="1:25" x14ac:dyDescent="0.35">
      <c r="A109" s="11" t="s">
        <v>271</v>
      </c>
      <c r="B109" s="50">
        <v>45089</v>
      </c>
      <c r="C109" s="11" t="s">
        <v>51</v>
      </c>
      <c r="D109" s="13" t="s">
        <v>92</v>
      </c>
      <c r="E109" s="13" t="s">
        <v>48</v>
      </c>
      <c r="F109" s="11" t="s">
        <v>44</v>
      </c>
      <c r="G109" s="11" t="str">
        <f>_xlfn.XLOOKUP(Table2[[#This Row],[operator_id]],Operators[operator_id],Operators[operator_name])</f>
        <v>K. Fraser</v>
      </c>
      <c r="H109" s="11" t="s">
        <v>27</v>
      </c>
      <c r="I109" s="14">
        <v>571.70000000000005</v>
      </c>
      <c r="J109" s="14">
        <v>2490.5</v>
      </c>
      <c r="K109" s="14">
        <v>364</v>
      </c>
      <c r="L109" s="14">
        <v>359.7</v>
      </c>
      <c r="M109" s="52">
        <v>-4.3</v>
      </c>
      <c r="N109" s="56">
        <v>-1.18E-2</v>
      </c>
      <c r="O109" s="17">
        <v>16.3</v>
      </c>
      <c r="P109" s="18">
        <v>17.399999999999999</v>
      </c>
      <c r="Q109" s="17">
        <v>62.3</v>
      </c>
      <c r="R109" s="17">
        <v>63.6</v>
      </c>
      <c r="S109" s="17">
        <v>1</v>
      </c>
      <c r="T109" s="13" t="s">
        <v>86</v>
      </c>
      <c r="U109" s="4">
        <f t="shared" si="1"/>
        <v>1</v>
      </c>
      <c r="V109" s="10" t="s">
        <v>28</v>
      </c>
      <c r="X109" s="11" t="s">
        <v>272</v>
      </c>
      <c r="Y109" s="13"/>
    </row>
    <row r="110" spans="1:25" x14ac:dyDescent="0.35">
      <c r="A110" s="2" t="s">
        <v>273</v>
      </c>
      <c r="B110" s="49">
        <v>45091</v>
      </c>
      <c r="C110" s="2" t="s">
        <v>42</v>
      </c>
      <c r="D110" s="4" t="s">
        <v>75</v>
      </c>
      <c r="E110" s="4" t="s">
        <v>25</v>
      </c>
      <c r="F110" s="2" t="s">
        <v>26</v>
      </c>
      <c r="G110" s="2" t="str">
        <f>_xlfn.XLOOKUP(Table2[[#This Row],[operator_id]],Operators[operator_id],Operators[operator_name])</f>
        <v>M. Chen</v>
      </c>
      <c r="H110" s="2" t="s">
        <v>27</v>
      </c>
      <c r="I110" s="5">
        <v>1132.9000000000001</v>
      </c>
      <c r="J110" s="5">
        <v>4867.8</v>
      </c>
      <c r="K110" s="5">
        <v>663.2</v>
      </c>
      <c r="L110" s="5">
        <v>659.2</v>
      </c>
      <c r="M110" s="52">
        <v>-4</v>
      </c>
      <c r="N110" s="56">
        <v>-6.0000000000000001E-3</v>
      </c>
      <c r="O110" s="8">
        <v>14.4</v>
      </c>
      <c r="P110" s="9">
        <v>14.44</v>
      </c>
      <c r="Q110" s="8">
        <v>66</v>
      </c>
      <c r="R110" s="8">
        <v>67</v>
      </c>
      <c r="S110" s="8">
        <v>0</v>
      </c>
      <c r="T110" s="4"/>
      <c r="U110" s="4">
        <f t="shared" si="1"/>
        <v>1</v>
      </c>
      <c r="V110" s="10" t="s">
        <v>28</v>
      </c>
      <c r="X110" s="2" t="s">
        <v>274</v>
      </c>
      <c r="Y110" s="4"/>
    </row>
    <row r="111" spans="1:25" x14ac:dyDescent="0.35">
      <c r="A111" s="11" t="s">
        <v>275</v>
      </c>
      <c r="B111" s="50">
        <v>45094</v>
      </c>
      <c r="C111" s="11" t="s">
        <v>51</v>
      </c>
      <c r="D111" s="13" t="s">
        <v>75</v>
      </c>
      <c r="E111" s="13" t="s">
        <v>89</v>
      </c>
      <c r="F111" s="11" t="s">
        <v>33</v>
      </c>
      <c r="G111" s="11" t="str">
        <f>_xlfn.XLOOKUP(Table2[[#This Row],[operator_id]],Operators[operator_id],Operators[operator_name])</f>
        <v>S. Patel</v>
      </c>
      <c r="H111" s="11" t="s">
        <v>27</v>
      </c>
      <c r="I111" s="14">
        <v>857.5</v>
      </c>
      <c r="J111" s="14">
        <v>4485.5</v>
      </c>
      <c r="K111" s="14">
        <v>511</v>
      </c>
      <c r="L111" s="14">
        <v>524</v>
      </c>
      <c r="M111" s="18">
        <v>13</v>
      </c>
      <c r="N111" s="55">
        <v>2.5399999999999999E-2</v>
      </c>
      <c r="O111" s="17">
        <v>16.399999999999999</v>
      </c>
      <c r="P111" s="18">
        <v>17.920000000000002</v>
      </c>
      <c r="Q111" s="17">
        <v>65.3</v>
      </c>
      <c r="R111" s="19">
        <v>63.3</v>
      </c>
      <c r="S111" s="17">
        <v>0</v>
      </c>
      <c r="T111" s="13"/>
      <c r="U111" s="4">
        <f t="shared" si="1"/>
        <v>1</v>
      </c>
      <c r="V111" s="10" t="s">
        <v>28</v>
      </c>
      <c r="X111" s="11" t="s">
        <v>276</v>
      </c>
      <c r="Y111" s="13"/>
    </row>
    <row r="112" spans="1:25" x14ac:dyDescent="0.35">
      <c r="A112" s="2" t="s">
        <v>277</v>
      </c>
      <c r="B112" s="49">
        <v>45097</v>
      </c>
      <c r="C112" s="2" t="s">
        <v>42</v>
      </c>
      <c r="D112" s="4" t="s">
        <v>24</v>
      </c>
      <c r="E112" s="4" t="s">
        <v>25</v>
      </c>
      <c r="F112" s="2" t="s">
        <v>26</v>
      </c>
      <c r="G112" s="2" t="str">
        <f>_xlfn.XLOOKUP(Table2[[#This Row],[operator_id]],Operators[operator_id],Operators[operator_name])</f>
        <v>M. Chen</v>
      </c>
      <c r="H112" s="2" t="s">
        <v>27</v>
      </c>
      <c r="I112" s="5">
        <v>662.1</v>
      </c>
      <c r="J112" s="5">
        <v>2860</v>
      </c>
      <c r="K112" s="5">
        <v>405</v>
      </c>
      <c r="L112" s="5">
        <v>406.4</v>
      </c>
      <c r="M112" s="9">
        <v>1.4</v>
      </c>
      <c r="N112" s="54">
        <v>3.5000000000000001E-3</v>
      </c>
      <c r="O112" s="8">
        <v>9.6999999999999993</v>
      </c>
      <c r="P112" s="9">
        <v>9.43</v>
      </c>
      <c r="Q112" s="8">
        <v>65.900000000000006</v>
      </c>
      <c r="R112" s="8">
        <v>64.7</v>
      </c>
      <c r="S112" s="8">
        <v>0</v>
      </c>
      <c r="T112" s="4"/>
      <c r="U112" s="4">
        <f t="shared" si="1"/>
        <v>1</v>
      </c>
      <c r="V112" s="10" t="s">
        <v>28</v>
      </c>
      <c r="X112" s="2" t="s">
        <v>278</v>
      </c>
      <c r="Y112" s="4"/>
    </row>
    <row r="113" spans="1:25" x14ac:dyDescent="0.35">
      <c r="A113" s="11" t="s">
        <v>279</v>
      </c>
      <c r="B113" s="50">
        <v>45100</v>
      </c>
      <c r="C113" s="11" t="s">
        <v>51</v>
      </c>
      <c r="D113" s="13" t="s">
        <v>92</v>
      </c>
      <c r="E113" s="13" t="s">
        <v>25</v>
      </c>
      <c r="F113" s="11" t="s">
        <v>59</v>
      </c>
      <c r="G113" s="11" t="str">
        <f>_xlfn.XLOOKUP(Table2[[#This Row],[operator_id]],Operators[operator_id],Operators[operator_name])</f>
        <v>R. Osei</v>
      </c>
      <c r="H113" s="11" t="s">
        <v>34</v>
      </c>
      <c r="I113" s="14">
        <v>689.1</v>
      </c>
      <c r="J113" s="14">
        <v>3074.5</v>
      </c>
      <c r="K113" s="14">
        <v>494.9</v>
      </c>
      <c r="L113" s="14">
        <v>507</v>
      </c>
      <c r="M113" s="18">
        <v>12.1</v>
      </c>
      <c r="N113" s="55">
        <v>2.4400000000000002E-2</v>
      </c>
      <c r="O113" s="17">
        <v>4.3</v>
      </c>
      <c r="P113" s="18">
        <v>5.95</v>
      </c>
      <c r="Q113" s="17">
        <v>65</v>
      </c>
      <c r="R113" s="17">
        <v>64.5</v>
      </c>
      <c r="S113" s="17">
        <v>5</v>
      </c>
      <c r="T113" s="13" t="s">
        <v>239</v>
      </c>
      <c r="U113" s="4">
        <f t="shared" si="1"/>
        <v>1</v>
      </c>
      <c r="V113" s="10" t="s">
        <v>28</v>
      </c>
      <c r="X113" s="11" t="s">
        <v>280</v>
      </c>
      <c r="Y113" s="13" t="s">
        <v>40</v>
      </c>
    </row>
    <row r="114" spans="1:25" x14ac:dyDescent="0.35">
      <c r="A114" s="2" t="s">
        <v>281</v>
      </c>
      <c r="B114" s="49">
        <v>45101</v>
      </c>
      <c r="C114" s="2" t="s">
        <v>23</v>
      </c>
      <c r="D114" s="4" t="s">
        <v>54</v>
      </c>
      <c r="E114" s="4" t="s">
        <v>89</v>
      </c>
      <c r="F114" s="2" t="s">
        <v>33</v>
      </c>
      <c r="G114" s="2" t="str">
        <f>_xlfn.XLOOKUP(Table2[[#This Row],[operator_id]],Operators[operator_id],Operators[operator_name])</f>
        <v>S. Patel</v>
      </c>
      <c r="H114" s="2" t="s">
        <v>27</v>
      </c>
      <c r="I114" s="5">
        <v>646</v>
      </c>
      <c r="J114" s="5">
        <v>3215.6</v>
      </c>
      <c r="K114" s="5">
        <v>371.4</v>
      </c>
      <c r="L114" s="5">
        <v>373.7</v>
      </c>
      <c r="M114" s="9">
        <v>2.2999999999999998</v>
      </c>
      <c r="N114" s="54">
        <v>6.1999999999999998E-3</v>
      </c>
      <c r="O114" s="8">
        <v>17</v>
      </c>
      <c r="P114" s="9">
        <v>15.96</v>
      </c>
      <c r="Q114" s="8">
        <v>69.2</v>
      </c>
      <c r="R114" s="8">
        <v>70.7</v>
      </c>
      <c r="S114" s="8">
        <v>0</v>
      </c>
      <c r="T114" s="4"/>
      <c r="U114" s="4">
        <f t="shared" si="1"/>
        <v>1</v>
      </c>
      <c r="V114" s="10" t="s">
        <v>28</v>
      </c>
      <c r="X114" s="2" t="s">
        <v>282</v>
      </c>
      <c r="Y114" s="4"/>
    </row>
    <row r="115" spans="1:25" x14ac:dyDescent="0.35">
      <c r="A115" s="11" t="s">
        <v>283</v>
      </c>
      <c r="B115" s="50">
        <v>45103</v>
      </c>
      <c r="C115" s="11" t="s">
        <v>51</v>
      </c>
      <c r="D115" s="13" t="s">
        <v>24</v>
      </c>
      <c r="E115" s="13" t="s">
        <v>105</v>
      </c>
      <c r="F115" s="11" t="s">
        <v>26</v>
      </c>
      <c r="G115" s="11" t="str">
        <f>_xlfn.XLOOKUP(Table2[[#This Row],[operator_id]],Operators[operator_id],Operators[operator_name])</f>
        <v>M. Chen</v>
      </c>
      <c r="H115" s="11" t="s">
        <v>27</v>
      </c>
      <c r="I115" s="14">
        <v>401</v>
      </c>
      <c r="J115" s="14">
        <v>1652.5</v>
      </c>
      <c r="K115" s="14">
        <v>266.39999999999998</v>
      </c>
      <c r="L115" s="14">
        <v>263.3</v>
      </c>
      <c r="M115" s="52">
        <v>-3.1</v>
      </c>
      <c r="N115" s="56">
        <v>-1.1599999999999999E-2</v>
      </c>
      <c r="O115" s="17">
        <v>15</v>
      </c>
      <c r="P115" s="18">
        <v>16</v>
      </c>
      <c r="Q115" s="17">
        <v>62.1</v>
      </c>
      <c r="R115" s="17">
        <v>63.3</v>
      </c>
      <c r="S115" s="17">
        <v>5</v>
      </c>
      <c r="T115" s="13"/>
      <c r="U115" s="4">
        <f t="shared" si="1"/>
        <v>0</v>
      </c>
      <c r="V115" s="20" t="s">
        <v>38</v>
      </c>
      <c r="X115" s="11" t="s">
        <v>284</v>
      </c>
      <c r="Y115" s="13" t="s">
        <v>40</v>
      </c>
    </row>
    <row r="116" spans="1:25" x14ac:dyDescent="0.35">
      <c r="A116" s="2" t="s">
        <v>285</v>
      </c>
      <c r="B116" s="49">
        <v>45103</v>
      </c>
      <c r="C116" s="2" t="s">
        <v>51</v>
      </c>
      <c r="D116" s="4" t="s">
        <v>75</v>
      </c>
      <c r="E116" s="4" t="s">
        <v>25</v>
      </c>
      <c r="F116" s="2" t="s">
        <v>33</v>
      </c>
      <c r="G116" s="2" t="str">
        <f>_xlfn.XLOOKUP(Table2[[#This Row],[operator_id]],Operators[operator_id],Operators[operator_name])</f>
        <v>S. Patel</v>
      </c>
      <c r="H116" s="2" t="s">
        <v>27</v>
      </c>
      <c r="I116" s="5">
        <v>818</v>
      </c>
      <c r="J116" s="5">
        <v>4164.6000000000004</v>
      </c>
      <c r="K116" s="5">
        <v>463.3</v>
      </c>
      <c r="L116" s="5">
        <v>464.1</v>
      </c>
      <c r="M116" s="9">
        <v>0.8</v>
      </c>
      <c r="N116" s="54">
        <v>1.6999999999999999E-3</v>
      </c>
      <c r="O116" s="8">
        <v>8.9</v>
      </c>
      <c r="P116" s="9">
        <v>8.51</v>
      </c>
      <c r="Q116" s="8">
        <v>62.1</v>
      </c>
      <c r="R116" s="8">
        <v>62.9</v>
      </c>
      <c r="S116" s="8">
        <v>5</v>
      </c>
      <c r="T116" s="4"/>
      <c r="U116" s="4">
        <f t="shared" si="1"/>
        <v>1</v>
      </c>
      <c r="V116" s="10" t="s">
        <v>28</v>
      </c>
      <c r="X116" s="2" t="s">
        <v>286</v>
      </c>
      <c r="Y116" s="4" t="s">
        <v>40</v>
      </c>
    </row>
    <row r="117" spans="1:25" x14ac:dyDescent="0.35">
      <c r="A117" s="11" t="s">
        <v>287</v>
      </c>
      <c r="B117" s="50">
        <v>45107</v>
      </c>
      <c r="C117" s="11" t="s">
        <v>31</v>
      </c>
      <c r="D117" s="13" t="s">
        <v>24</v>
      </c>
      <c r="E117" s="13" t="s">
        <v>105</v>
      </c>
      <c r="F117" s="11" t="s">
        <v>59</v>
      </c>
      <c r="G117" s="11" t="str">
        <f>_xlfn.XLOOKUP(Table2[[#This Row],[operator_id]],Operators[operator_id],Operators[operator_name])</f>
        <v>R. Osei</v>
      </c>
      <c r="H117" s="11" t="s">
        <v>27</v>
      </c>
      <c r="I117" s="14">
        <v>1199.3</v>
      </c>
      <c r="J117" s="14">
        <v>4841.3999999999996</v>
      </c>
      <c r="K117" s="14">
        <v>786.9</v>
      </c>
      <c r="L117" s="14">
        <v>788.8</v>
      </c>
      <c r="M117" s="18">
        <v>1.9</v>
      </c>
      <c r="N117" s="55">
        <v>2.3999999999999998E-3</v>
      </c>
      <c r="O117" s="17">
        <v>12.6</v>
      </c>
      <c r="P117" s="18">
        <v>15.91</v>
      </c>
      <c r="Q117" s="17">
        <v>62.1</v>
      </c>
      <c r="R117" s="17">
        <v>62.3</v>
      </c>
      <c r="S117" s="17">
        <v>0</v>
      </c>
      <c r="T117" s="13"/>
      <c r="U117" s="4">
        <f t="shared" si="1"/>
        <v>1</v>
      </c>
      <c r="V117" s="10" t="s">
        <v>28</v>
      </c>
      <c r="X117" s="11" t="s">
        <v>288</v>
      </c>
      <c r="Y117" s="13"/>
    </row>
    <row r="118" spans="1:25" x14ac:dyDescent="0.35">
      <c r="A118" s="2" t="s">
        <v>289</v>
      </c>
      <c r="B118" s="49">
        <v>45108</v>
      </c>
      <c r="C118" s="2" t="s">
        <v>42</v>
      </c>
      <c r="D118" s="4" t="s">
        <v>24</v>
      </c>
      <c r="E118" s="4" t="s">
        <v>105</v>
      </c>
      <c r="F118" s="2" t="s">
        <v>55</v>
      </c>
      <c r="G118" s="2" t="str">
        <f>_xlfn.XLOOKUP(Table2[[#This Row],[operator_id]],Operators[operator_id],Operators[operator_name])</f>
        <v>T. Dinesh</v>
      </c>
      <c r="H118" s="2" t="s">
        <v>34</v>
      </c>
      <c r="I118" s="5">
        <v>977.9</v>
      </c>
      <c r="J118" s="5">
        <v>3729.5</v>
      </c>
      <c r="K118" s="5">
        <v>544.79999999999995</v>
      </c>
      <c r="L118" s="5">
        <v>519.6</v>
      </c>
      <c r="M118" s="52">
        <v>-25.2</v>
      </c>
      <c r="N118" s="56">
        <v>-4.6300000000000001E-2</v>
      </c>
      <c r="O118" s="8">
        <v>13.8</v>
      </c>
      <c r="P118" s="9">
        <v>14.44</v>
      </c>
      <c r="Q118" s="8">
        <v>65.2</v>
      </c>
      <c r="R118" s="19">
        <v>66.900000000000006</v>
      </c>
      <c r="S118" s="8">
        <v>0</v>
      </c>
      <c r="T118" s="4"/>
      <c r="U118" s="4">
        <f t="shared" si="1"/>
        <v>0</v>
      </c>
      <c r="V118" s="20" t="s">
        <v>38</v>
      </c>
      <c r="X118" s="2" t="s">
        <v>290</v>
      </c>
      <c r="Y118" s="4"/>
    </row>
    <row r="119" spans="1:25" x14ac:dyDescent="0.35">
      <c r="A119" s="11" t="s">
        <v>291</v>
      </c>
      <c r="B119" s="50">
        <v>45112</v>
      </c>
      <c r="C119" s="11" t="s">
        <v>97</v>
      </c>
      <c r="D119" s="13" t="s">
        <v>54</v>
      </c>
      <c r="E119" s="13" t="s">
        <v>48</v>
      </c>
      <c r="F119" s="11" t="s">
        <v>26</v>
      </c>
      <c r="G119" s="11" t="str">
        <f>_xlfn.XLOOKUP(Table2[[#This Row],[operator_id]],Operators[operator_id],Operators[operator_name])</f>
        <v>M. Chen</v>
      </c>
      <c r="H119" s="11" t="s">
        <v>27</v>
      </c>
      <c r="I119" s="14">
        <v>673.8</v>
      </c>
      <c r="J119" s="14">
        <v>2901.1</v>
      </c>
      <c r="K119" s="14">
        <v>424.9</v>
      </c>
      <c r="L119" s="14">
        <v>391.7</v>
      </c>
      <c r="M119" s="51">
        <v>-33.200000000000003</v>
      </c>
      <c r="N119" s="57">
        <v>-7.8100000000000003E-2</v>
      </c>
      <c r="O119" s="17">
        <v>14</v>
      </c>
      <c r="P119" s="18">
        <v>16.510000000000002</v>
      </c>
      <c r="Q119" s="17">
        <v>61.3</v>
      </c>
      <c r="R119" s="17">
        <v>60.6</v>
      </c>
      <c r="S119" s="17">
        <v>0</v>
      </c>
      <c r="T119" s="13"/>
      <c r="U119" s="4">
        <f t="shared" si="1"/>
        <v>0</v>
      </c>
      <c r="V119" s="20" t="s">
        <v>38</v>
      </c>
      <c r="X119" s="11" t="s">
        <v>292</v>
      </c>
      <c r="Y119" s="13"/>
    </row>
    <row r="120" spans="1:25" x14ac:dyDescent="0.35">
      <c r="A120" s="2" t="s">
        <v>293</v>
      </c>
      <c r="B120" s="49">
        <v>45114</v>
      </c>
      <c r="C120" s="2" t="s">
        <v>23</v>
      </c>
      <c r="D120" s="4" t="s">
        <v>92</v>
      </c>
      <c r="E120" s="4" t="s">
        <v>25</v>
      </c>
      <c r="F120" s="2" t="s">
        <v>44</v>
      </c>
      <c r="G120" s="2" t="str">
        <f>_xlfn.XLOOKUP(Table2[[#This Row],[operator_id]],Operators[operator_id],Operators[operator_name])</f>
        <v>K. Fraser</v>
      </c>
      <c r="H120" s="2" t="s">
        <v>34</v>
      </c>
      <c r="I120" s="5">
        <v>866.9</v>
      </c>
      <c r="J120" s="5">
        <v>3449.9</v>
      </c>
      <c r="K120" s="5">
        <v>525.79999999999995</v>
      </c>
      <c r="L120" s="5">
        <v>533.5</v>
      </c>
      <c r="M120" s="9">
        <v>7.7</v>
      </c>
      <c r="N120" s="54">
        <v>1.46E-2</v>
      </c>
      <c r="O120" s="8">
        <v>12.6</v>
      </c>
      <c r="P120" s="9">
        <v>12.27</v>
      </c>
      <c r="Q120" s="8">
        <v>61.7</v>
      </c>
      <c r="R120" s="19">
        <v>60</v>
      </c>
      <c r="S120" s="8">
        <v>0</v>
      </c>
      <c r="T120" s="4"/>
      <c r="U120" s="4">
        <f t="shared" si="1"/>
        <v>1</v>
      </c>
      <c r="V120" s="10" t="s">
        <v>28</v>
      </c>
      <c r="X120" s="2" t="s">
        <v>294</v>
      </c>
      <c r="Y120" s="4"/>
    </row>
    <row r="121" spans="1:25" x14ac:dyDescent="0.35">
      <c r="A121" s="11" t="s">
        <v>295</v>
      </c>
      <c r="B121" s="50">
        <v>45115</v>
      </c>
      <c r="C121" s="11" t="s">
        <v>51</v>
      </c>
      <c r="D121" s="13" t="s">
        <v>54</v>
      </c>
      <c r="E121" s="13" t="s">
        <v>25</v>
      </c>
      <c r="F121" s="11" t="s">
        <v>44</v>
      </c>
      <c r="G121" s="11" t="str">
        <f>_xlfn.XLOOKUP(Table2[[#This Row],[operator_id]],Operators[operator_id],Operators[operator_name])</f>
        <v>K. Fraser</v>
      </c>
      <c r="H121" s="11" t="s">
        <v>27</v>
      </c>
      <c r="I121" s="14">
        <v>883.5</v>
      </c>
      <c r="J121" s="14">
        <v>4818.1000000000004</v>
      </c>
      <c r="K121" s="14">
        <v>635.20000000000005</v>
      </c>
      <c r="L121" s="14">
        <v>625.5</v>
      </c>
      <c r="M121" s="52">
        <v>-9.6999999999999993</v>
      </c>
      <c r="N121" s="56">
        <v>-1.5299999999999999E-2</v>
      </c>
      <c r="O121" s="17">
        <v>5.9</v>
      </c>
      <c r="P121" s="18">
        <v>7.86</v>
      </c>
      <c r="Q121" s="17">
        <v>68.400000000000006</v>
      </c>
      <c r="R121" s="17">
        <v>67.3</v>
      </c>
      <c r="S121" s="17">
        <v>5</v>
      </c>
      <c r="T121" s="13"/>
      <c r="U121" s="4">
        <f t="shared" si="1"/>
        <v>1</v>
      </c>
      <c r="V121" s="10" t="s">
        <v>28</v>
      </c>
      <c r="X121" s="11" t="s">
        <v>296</v>
      </c>
      <c r="Y121" s="13" t="s">
        <v>40</v>
      </c>
    </row>
    <row r="122" spans="1:25" x14ac:dyDescent="0.35">
      <c r="A122" s="2" t="s">
        <v>297</v>
      </c>
      <c r="B122" s="49">
        <v>45117</v>
      </c>
      <c r="C122" s="2" t="s">
        <v>97</v>
      </c>
      <c r="D122" s="4" t="s">
        <v>37</v>
      </c>
      <c r="E122" s="4" t="s">
        <v>89</v>
      </c>
      <c r="F122" s="2" t="s">
        <v>26</v>
      </c>
      <c r="G122" s="2" t="str">
        <f>_xlfn.XLOOKUP(Table2[[#This Row],[operator_id]],Operators[operator_id],Operators[operator_name])</f>
        <v>M. Chen</v>
      </c>
      <c r="H122" s="2" t="s">
        <v>34</v>
      </c>
      <c r="I122" s="5">
        <v>1094.2</v>
      </c>
      <c r="J122" s="5">
        <v>5921</v>
      </c>
      <c r="K122" s="5">
        <v>683.6</v>
      </c>
      <c r="L122" s="5">
        <v>671.8</v>
      </c>
      <c r="M122" s="52">
        <v>-11.8</v>
      </c>
      <c r="N122" s="56">
        <v>-1.7299999999999999E-2</v>
      </c>
      <c r="O122" s="8">
        <v>9</v>
      </c>
      <c r="P122" s="9">
        <v>8.6</v>
      </c>
      <c r="Q122" s="8">
        <v>62.9</v>
      </c>
      <c r="R122" s="8">
        <v>61.9</v>
      </c>
      <c r="S122" s="8">
        <v>0</v>
      </c>
      <c r="T122" s="4"/>
      <c r="U122" s="4">
        <f t="shared" si="1"/>
        <v>1</v>
      </c>
      <c r="V122" s="10" t="s">
        <v>28</v>
      </c>
      <c r="X122" s="2" t="s">
        <v>298</v>
      </c>
      <c r="Y122" s="4"/>
    </row>
    <row r="123" spans="1:25" x14ac:dyDescent="0.35">
      <c r="A123" s="11" t="s">
        <v>299</v>
      </c>
      <c r="B123" s="50">
        <v>45118</v>
      </c>
      <c r="C123" s="11" t="s">
        <v>31</v>
      </c>
      <c r="D123" s="13" t="s">
        <v>54</v>
      </c>
      <c r="E123" s="13" t="s">
        <v>43</v>
      </c>
      <c r="F123" s="11" t="s">
        <v>59</v>
      </c>
      <c r="G123" s="11" t="str">
        <f>_xlfn.XLOOKUP(Table2[[#This Row],[operator_id]],Operators[operator_id],Operators[operator_name])</f>
        <v>R. Osei</v>
      </c>
      <c r="H123" s="11" t="s">
        <v>27</v>
      </c>
      <c r="I123" s="14">
        <v>480.8</v>
      </c>
      <c r="J123" s="14">
        <v>2348</v>
      </c>
      <c r="K123" s="14">
        <v>295.10000000000002</v>
      </c>
      <c r="L123" s="14">
        <v>280.3</v>
      </c>
      <c r="M123" s="51">
        <v>-14.8</v>
      </c>
      <c r="N123" s="57">
        <v>-5.0200000000000002E-2</v>
      </c>
      <c r="O123" s="17">
        <v>11.7</v>
      </c>
      <c r="P123" s="18">
        <v>15.82</v>
      </c>
      <c r="Q123" s="17">
        <v>64.8</v>
      </c>
      <c r="R123" s="17">
        <v>65.900000000000006</v>
      </c>
      <c r="S123" s="17">
        <v>0</v>
      </c>
      <c r="T123" s="13"/>
      <c r="U123" s="4">
        <f t="shared" si="1"/>
        <v>1</v>
      </c>
      <c r="V123" s="10" t="s">
        <v>28</v>
      </c>
      <c r="X123" s="11" t="s">
        <v>300</v>
      </c>
      <c r="Y123" s="13"/>
    </row>
    <row r="124" spans="1:25" x14ac:dyDescent="0.35">
      <c r="A124" s="2" t="s">
        <v>301</v>
      </c>
      <c r="B124" s="49">
        <v>45118</v>
      </c>
      <c r="C124" s="2" t="s">
        <v>23</v>
      </c>
      <c r="D124" s="4" t="s">
        <v>92</v>
      </c>
      <c r="E124" s="4" t="s">
        <v>32</v>
      </c>
      <c r="F124" s="2" t="s">
        <v>44</v>
      </c>
      <c r="G124" s="2" t="str">
        <f>_xlfn.XLOOKUP(Table2[[#This Row],[operator_id]],Operators[operator_id],Operators[operator_name])</f>
        <v>K. Fraser</v>
      </c>
      <c r="H124" s="2" t="s">
        <v>34</v>
      </c>
      <c r="I124" s="5">
        <v>736.6</v>
      </c>
      <c r="J124" s="5">
        <v>2599.6999999999998</v>
      </c>
      <c r="K124" s="5">
        <v>505.6</v>
      </c>
      <c r="L124" s="5">
        <v>536.4</v>
      </c>
      <c r="M124" s="9">
        <v>30.8</v>
      </c>
      <c r="N124" s="54">
        <v>6.0900000000000003E-2</v>
      </c>
      <c r="O124" s="8">
        <v>9.6</v>
      </c>
      <c r="P124" s="9">
        <v>8.4600000000000009</v>
      </c>
      <c r="Q124" s="8">
        <v>62</v>
      </c>
      <c r="R124" s="8">
        <v>62.7</v>
      </c>
      <c r="S124" s="8">
        <v>0</v>
      </c>
      <c r="T124" s="4"/>
      <c r="U124" s="4">
        <f t="shared" si="1"/>
        <v>1</v>
      </c>
      <c r="V124" s="10" t="s">
        <v>28</v>
      </c>
      <c r="X124" s="2" t="s">
        <v>302</v>
      </c>
      <c r="Y124" s="4"/>
    </row>
    <row r="125" spans="1:25" x14ac:dyDescent="0.35">
      <c r="A125" s="11" t="s">
        <v>303</v>
      </c>
      <c r="B125" s="50">
        <v>45120</v>
      </c>
      <c r="C125" s="11" t="s">
        <v>31</v>
      </c>
      <c r="D125" s="13" t="s">
        <v>37</v>
      </c>
      <c r="E125" s="13" t="s">
        <v>43</v>
      </c>
      <c r="F125" s="11" t="s">
        <v>33</v>
      </c>
      <c r="G125" s="11" t="str">
        <f>_xlfn.XLOOKUP(Table2[[#This Row],[operator_id]],Operators[operator_id],Operators[operator_name])</f>
        <v>S. Patel</v>
      </c>
      <c r="H125" s="11" t="s">
        <v>34</v>
      </c>
      <c r="I125" s="14">
        <v>1199.4000000000001</v>
      </c>
      <c r="J125" s="14">
        <v>4421.3</v>
      </c>
      <c r="K125" s="14">
        <v>858.6</v>
      </c>
      <c r="L125" s="14">
        <v>838.9</v>
      </c>
      <c r="M125" s="52">
        <v>-19.7</v>
      </c>
      <c r="N125" s="56">
        <v>-2.29E-2</v>
      </c>
      <c r="O125" s="17">
        <v>4.7</v>
      </c>
      <c r="P125" s="18">
        <v>5.3</v>
      </c>
      <c r="Q125" s="17">
        <v>65.2</v>
      </c>
      <c r="R125" s="17">
        <v>66.400000000000006</v>
      </c>
      <c r="S125" s="17">
        <v>0</v>
      </c>
      <c r="T125" s="13"/>
      <c r="U125" s="4">
        <f t="shared" si="1"/>
        <v>1</v>
      </c>
      <c r="V125" s="10" t="s">
        <v>28</v>
      </c>
      <c r="X125" s="11" t="s">
        <v>304</v>
      </c>
      <c r="Y125" s="13"/>
    </row>
    <row r="126" spans="1:25" x14ac:dyDescent="0.35">
      <c r="A126" s="2" t="s">
        <v>305</v>
      </c>
      <c r="B126" s="49">
        <v>45121</v>
      </c>
      <c r="C126" s="2" t="s">
        <v>31</v>
      </c>
      <c r="D126" s="4" t="s">
        <v>24</v>
      </c>
      <c r="E126" s="4" t="s">
        <v>43</v>
      </c>
      <c r="F126" s="2" t="s">
        <v>55</v>
      </c>
      <c r="G126" s="2" t="str">
        <f>_xlfn.XLOOKUP(Table2[[#This Row],[operator_id]],Operators[operator_id],Operators[operator_name])</f>
        <v>T. Dinesh</v>
      </c>
      <c r="H126" s="2" t="s">
        <v>34</v>
      </c>
      <c r="I126" s="5">
        <v>691.8</v>
      </c>
      <c r="J126" s="5">
        <v>2666.3</v>
      </c>
      <c r="K126" s="5">
        <v>473.6</v>
      </c>
      <c r="L126" s="5">
        <v>497.9</v>
      </c>
      <c r="M126" s="9">
        <v>24.3</v>
      </c>
      <c r="N126" s="54">
        <v>5.1299999999999998E-2</v>
      </c>
      <c r="O126" s="8">
        <v>16.5</v>
      </c>
      <c r="P126" s="9">
        <v>18.77</v>
      </c>
      <c r="Q126" s="8">
        <v>69.5</v>
      </c>
      <c r="R126" s="8">
        <v>69.400000000000006</v>
      </c>
      <c r="S126" s="8">
        <v>3</v>
      </c>
      <c r="T126" s="4" t="s">
        <v>45</v>
      </c>
      <c r="U126" s="4">
        <f t="shared" si="1"/>
        <v>1</v>
      </c>
      <c r="V126" s="10" t="s">
        <v>28</v>
      </c>
      <c r="X126" s="2" t="s">
        <v>306</v>
      </c>
      <c r="Y126" s="4" t="s">
        <v>40</v>
      </c>
    </row>
    <row r="127" spans="1:25" x14ac:dyDescent="0.35">
      <c r="A127" s="11" t="s">
        <v>307</v>
      </c>
      <c r="B127" s="50">
        <v>45132</v>
      </c>
      <c r="C127" s="11" t="s">
        <v>51</v>
      </c>
      <c r="D127" s="13" t="s">
        <v>24</v>
      </c>
      <c r="E127" s="13" t="s">
        <v>43</v>
      </c>
      <c r="F127" s="11" t="s">
        <v>33</v>
      </c>
      <c r="G127" s="11" t="str">
        <f>_xlfn.XLOOKUP(Table2[[#This Row],[operator_id]],Operators[operator_id],Operators[operator_name])</f>
        <v>S. Patel</v>
      </c>
      <c r="H127" s="11" t="s">
        <v>27</v>
      </c>
      <c r="I127" s="14">
        <v>732.5</v>
      </c>
      <c r="J127" s="14">
        <v>2905.1</v>
      </c>
      <c r="K127" s="14">
        <v>463.4</v>
      </c>
      <c r="L127" s="14">
        <v>485.8</v>
      </c>
      <c r="M127" s="18">
        <v>22.4</v>
      </c>
      <c r="N127" s="55">
        <v>4.8300000000000003E-2</v>
      </c>
      <c r="O127" s="17">
        <v>9.6999999999999993</v>
      </c>
      <c r="P127" s="18">
        <v>10.3</v>
      </c>
      <c r="Q127" s="17">
        <v>69.8</v>
      </c>
      <c r="R127" s="17">
        <v>68.599999999999994</v>
      </c>
      <c r="S127" s="17">
        <v>5</v>
      </c>
      <c r="T127" s="13" t="s">
        <v>239</v>
      </c>
      <c r="U127" s="4">
        <f t="shared" si="1"/>
        <v>1</v>
      </c>
      <c r="V127" s="10" t="s">
        <v>28</v>
      </c>
      <c r="X127" s="11" t="s">
        <v>308</v>
      </c>
      <c r="Y127" s="13" t="s">
        <v>40</v>
      </c>
    </row>
    <row r="128" spans="1:25" x14ac:dyDescent="0.35">
      <c r="A128" s="2" t="s">
        <v>309</v>
      </c>
      <c r="B128" s="49">
        <v>45132</v>
      </c>
      <c r="C128" s="2" t="s">
        <v>23</v>
      </c>
      <c r="D128" s="4" t="s">
        <v>37</v>
      </c>
      <c r="E128" s="4" t="s">
        <v>89</v>
      </c>
      <c r="F128" s="2" t="s">
        <v>33</v>
      </c>
      <c r="G128" s="2" t="str">
        <f>_xlfn.XLOOKUP(Table2[[#This Row],[operator_id]],Operators[operator_id],Operators[operator_name])</f>
        <v>S. Patel</v>
      </c>
      <c r="H128" s="2" t="s">
        <v>27</v>
      </c>
      <c r="I128" s="5">
        <v>609.1</v>
      </c>
      <c r="J128" s="5">
        <v>2157</v>
      </c>
      <c r="K128" s="5">
        <v>415.9</v>
      </c>
      <c r="L128" s="5">
        <v>441.5</v>
      </c>
      <c r="M128" s="9">
        <v>25.6</v>
      </c>
      <c r="N128" s="54">
        <v>6.1600000000000002E-2</v>
      </c>
      <c r="O128" s="8">
        <v>12.6</v>
      </c>
      <c r="P128" s="9">
        <v>10.59</v>
      </c>
      <c r="Q128" s="8">
        <v>64.599999999999994</v>
      </c>
      <c r="R128" s="8">
        <v>64.400000000000006</v>
      </c>
      <c r="S128" s="8">
        <v>0</v>
      </c>
      <c r="T128" s="4"/>
      <c r="U128" s="4">
        <f t="shared" si="1"/>
        <v>1</v>
      </c>
      <c r="V128" s="10" t="s">
        <v>28</v>
      </c>
      <c r="X128" s="2" t="s">
        <v>310</v>
      </c>
      <c r="Y128" s="4"/>
    </row>
    <row r="129" spans="1:25" x14ac:dyDescent="0.35">
      <c r="A129" s="11" t="s">
        <v>311</v>
      </c>
      <c r="B129" s="50">
        <v>45133</v>
      </c>
      <c r="C129" s="11" t="s">
        <v>51</v>
      </c>
      <c r="D129" s="13" t="s">
        <v>75</v>
      </c>
      <c r="E129" s="13" t="s">
        <v>25</v>
      </c>
      <c r="F129" s="11" t="s">
        <v>44</v>
      </c>
      <c r="G129" s="11" t="str">
        <f>_xlfn.XLOOKUP(Table2[[#This Row],[operator_id]],Operators[operator_id],Operators[operator_name])</f>
        <v>K. Fraser</v>
      </c>
      <c r="H129" s="11" t="s">
        <v>27</v>
      </c>
      <c r="I129" s="14">
        <v>598.70000000000005</v>
      </c>
      <c r="J129" s="14">
        <v>3005.3</v>
      </c>
      <c r="K129" s="14">
        <v>354.8</v>
      </c>
      <c r="L129" s="14">
        <v>359.8</v>
      </c>
      <c r="M129" s="18">
        <v>5</v>
      </c>
      <c r="N129" s="55">
        <v>1.41E-2</v>
      </c>
      <c r="O129" s="17">
        <v>11.5</v>
      </c>
      <c r="P129" s="18">
        <v>15.67</v>
      </c>
      <c r="Q129" s="17">
        <v>64.900000000000006</v>
      </c>
      <c r="R129" s="17">
        <v>64.5</v>
      </c>
      <c r="S129" s="17">
        <v>2</v>
      </c>
      <c r="T129" s="13"/>
      <c r="U129" s="4">
        <f t="shared" si="1"/>
        <v>1</v>
      </c>
      <c r="V129" s="10" t="s">
        <v>28</v>
      </c>
      <c r="X129" s="11" t="s">
        <v>312</v>
      </c>
      <c r="Y129" s="13"/>
    </row>
    <row r="130" spans="1:25" x14ac:dyDescent="0.35">
      <c r="A130" s="2" t="s">
        <v>313</v>
      </c>
      <c r="B130" s="49">
        <v>45136</v>
      </c>
      <c r="C130" s="2" t="s">
        <v>31</v>
      </c>
      <c r="D130" s="4" t="s">
        <v>92</v>
      </c>
      <c r="E130" s="4" t="s">
        <v>89</v>
      </c>
      <c r="F130" s="2" t="s">
        <v>44</v>
      </c>
      <c r="G130" s="2" t="str">
        <f>_xlfn.XLOOKUP(Table2[[#This Row],[operator_id]],Operators[operator_id],Operators[operator_name])</f>
        <v>K. Fraser</v>
      </c>
      <c r="H130" s="2" t="s">
        <v>34</v>
      </c>
      <c r="I130" s="5">
        <v>887.9</v>
      </c>
      <c r="J130" s="5">
        <v>3316.2</v>
      </c>
      <c r="K130" s="5">
        <v>594.1</v>
      </c>
      <c r="L130" s="5">
        <v>593.70000000000005</v>
      </c>
      <c r="M130" s="52">
        <v>-0.4</v>
      </c>
      <c r="N130" s="56">
        <v>-6.9999999999999999E-4</v>
      </c>
      <c r="O130" s="8">
        <v>7.7</v>
      </c>
      <c r="P130" s="9">
        <v>8.61</v>
      </c>
      <c r="Q130" s="8">
        <v>64.400000000000006</v>
      </c>
      <c r="R130" s="8">
        <v>63.9</v>
      </c>
      <c r="S130" s="8">
        <v>0.5</v>
      </c>
      <c r="T130" s="4" t="s">
        <v>86</v>
      </c>
      <c r="U130" s="4">
        <f t="shared" si="1"/>
        <v>1</v>
      </c>
      <c r="V130" s="10" t="s">
        <v>28</v>
      </c>
      <c r="X130" s="2" t="s">
        <v>314</v>
      </c>
      <c r="Y130" s="4"/>
    </row>
    <row r="131" spans="1:25" x14ac:dyDescent="0.35">
      <c r="A131" s="11" t="s">
        <v>315</v>
      </c>
      <c r="B131" s="50">
        <v>45137</v>
      </c>
      <c r="C131" s="11" t="s">
        <v>97</v>
      </c>
      <c r="D131" s="13" t="s">
        <v>37</v>
      </c>
      <c r="E131" s="13" t="s">
        <v>48</v>
      </c>
      <c r="F131" s="11" t="s">
        <v>59</v>
      </c>
      <c r="G131" s="11" t="str">
        <f>_xlfn.XLOOKUP(Table2[[#This Row],[operator_id]],Operators[operator_id],Operators[operator_name])</f>
        <v>R. Osei</v>
      </c>
      <c r="H131" s="11" t="s">
        <v>34</v>
      </c>
      <c r="I131" s="14">
        <v>1165.9000000000001</v>
      </c>
      <c r="J131" s="14">
        <v>6150.2</v>
      </c>
      <c r="K131" s="14">
        <v>678.3</v>
      </c>
      <c r="L131" s="14">
        <v>651.5</v>
      </c>
      <c r="M131" s="52">
        <v>-26.8</v>
      </c>
      <c r="N131" s="56">
        <v>-3.95E-2</v>
      </c>
      <c r="O131" s="17">
        <v>15.1</v>
      </c>
      <c r="P131" s="18">
        <v>15.76</v>
      </c>
      <c r="Q131" s="17">
        <v>62.9</v>
      </c>
      <c r="R131" s="19">
        <v>60.4</v>
      </c>
      <c r="S131" s="17">
        <v>0</v>
      </c>
      <c r="T131" s="13"/>
      <c r="U131" s="4">
        <f t="shared" ref="U131:U194" si="2">IF(V131="Pass",1,0)</f>
        <v>1</v>
      </c>
      <c r="V131" s="10" t="s">
        <v>28</v>
      </c>
      <c r="X131" s="11" t="s">
        <v>316</v>
      </c>
      <c r="Y131" s="13" t="s">
        <v>61</v>
      </c>
    </row>
    <row r="132" spans="1:25" x14ac:dyDescent="0.35">
      <c r="A132" s="2" t="s">
        <v>317</v>
      </c>
      <c r="B132" s="49">
        <v>45143</v>
      </c>
      <c r="C132" s="2" t="s">
        <v>42</v>
      </c>
      <c r="D132" s="4" t="s">
        <v>54</v>
      </c>
      <c r="E132" s="4" t="s">
        <v>48</v>
      </c>
      <c r="F132" s="2" t="s">
        <v>44</v>
      </c>
      <c r="G132" s="2" t="str">
        <f>_xlfn.XLOOKUP(Table2[[#This Row],[operator_id]],Operators[operator_id],Operators[operator_name])</f>
        <v>K. Fraser</v>
      </c>
      <c r="H132" s="2" t="s">
        <v>27</v>
      </c>
      <c r="I132" s="5">
        <v>471.6</v>
      </c>
      <c r="J132" s="5">
        <v>2569.5</v>
      </c>
      <c r="K132" s="5">
        <v>320.2</v>
      </c>
      <c r="L132" s="5">
        <v>320</v>
      </c>
      <c r="M132" s="52">
        <v>-0.2</v>
      </c>
      <c r="N132" s="56">
        <v>-5.9999999999999995E-4</v>
      </c>
      <c r="O132" s="8">
        <v>17.600000000000001</v>
      </c>
      <c r="P132" s="9">
        <v>21.6</v>
      </c>
      <c r="Q132" s="8">
        <v>69.599999999999994</v>
      </c>
      <c r="R132" s="8">
        <v>68.3</v>
      </c>
      <c r="S132" s="8">
        <v>0</v>
      </c>
      <c r="T132" s="4"/>
      <c r="U132" s="4">
        <f t="shared" si="2"/>
        <v>1</v>
      </c>
      <c r="V132" s="10" t="s">
        <v>28</v>
      </c>
      <c r="X132" s="2" t="s">
        <v>318</v>
      </c>
      <c r="Y132" s="4"/>
    </row>
    <row r="133" spans="1:25" x14ac:dyDescent="0.35">
      <c r="A133" s="11" t="s">
        <v>319</v>
      </c>
      <c r="B133" s="50">
        <v>45144</v>
      </c>
      <c r="C133" s="11" t="s">
        <v>31</v>
      </c>
      <c r="D133" s="13" t="s">
        <v>54</v>
      </c>
      <c r="E133" s="13" t="s">
        <v>43</v>
      </c>
      <c r="F133" s="11" t="s">
        <v>33</v>
      </c>
      <c r="G133" s="11" t="str">
        <f>_xlfn.XLOOKUP(Table2[[#This Row],[operator_id]],Operators[operator_id],Operators[operator_name])</f>
        <v>S. Patel</v>
      </c>
      <c r="H133" s="11" t="s">
        <v>27</v>
      </c>
      <c r="I133" s="14">
        <v>862.8</v>
      </c>
      <c r="J133" s="14">
        <v>3352.6</v>
      </c>
      <c r="K133" s="14">
        <v>543.4</v>
      </c>
      <c r="L133" s="14">
        <v>546.5</v>
      </c>
      <c r="M133" s="18">
        <v>3.1</v>
      </c>
      <c r="N133" s="55">
        <v>5.7000000000000002E-3</v>
      </c>
      <c r="O133" s="17">
        <v>8.8000000000000007</v>
      </c>
      <c r="P133" s="18">
        <v>7.31</v>
      </c>
      <c r="Q133" s="17">
        <v>63.9</v>
      </c>
      <c r="R133" s="17">
        <v>64.5</v>
      </c>
      <c r="S133" s="17">
        <v>0</v>
      </c>
      <c r="T133" s="13"/>
      <c r="U133" s="4">
        <f t="shared" si="2"/>
        <v>1</v>
      </c>
      <c r="V133" s="10" t="s">
        <v>28</v>
      </c>
      <c r="X133" s="11" t="s">
        <v>320</v>
      </c>
      <c r="Y133" s="13"/>
    </row>
    <row r="134" spans="1:25" x14ac:dyDescent="0.35">
      <c r="A134" s="2" t="s">
        <v>321</v>
      </c>
      <c r="B134" s="49">
        <v>45146</v>
      </c>
      <c r="C134" s="2" t="s">
        <v>42</v>
      </c>
      <c r="D134" s="4" t="s">
        <v>75</v>
      </c>
      <c r="E134" s="4" t="s">
        <v>32</v>
      </c>
      <c r="F134" s="2" t="s">
        <v>55</v>
      </c>
      <c r="G134" s="2" t="str">
        <f>_xlfn.XLOOKUP(Table2[[#This Row],[operator_id]],Operators[operator_id],Operators[operator_name])</f>
        <v>T. Dinesh</v>
      </c>
      <c r="H134" s="2" t="s">
        <v>34</v>
      </c>
      <c r="I134" s="5">
        <v>540.9</v>
      </c>
      <c r="J134" s="5">
        <v>1997.5</v>
      </c>
      <c r="K134" s="5">
        <v>339.9</v>
      </c>
      <c r="L134" s="5">
        <v>334</v>
      </c>
      <c r="M134" s="52">
        <v>-5.9</v>
      </c>
      <c r="N134" s="56">
        <v>-1.7399999999999999E-2</v>
      </c>
      <c r="O134" s="8">
        <v>11.9</v>
      </c>
      <c r="P134" s="9">
        <v>13.69</v>
      </c>
      <c r="Q134" s="8">
        <v>66.8</v>
      </c>
      <c r="R134" s="8">
        <v>67.3</v>
      </c>
      <c r="S134" s="8">
        <v>0</v>
      </c>
      <c r="T134" s="4"/>
      <c r="U134" s="4">
        <f t="shared" si="2"/>
        <v>1</v>
      </c>
      <c r="V134" s="10" t="s">
        <v>28</v>
      </c>
      <c r="X134" s="2" t="s">
        <v>322</v>
      </c>
      <c r="Y134" s="4"/>
    </row>
    <row r="135" spans="1:25" x14ac:dyDescent="0.35">
      <c r="A135" s="11" t="s">
        <v>323</v>
      </c>
      <c r="B135" s="50">
        <v>45154</v>
      </c>
      <c r="C135" s="11" t="s">
        <v>97</v>
      </c>
      <c r="D135" s="13" t="s">
        <v>54</v>
      </c>
      <c r="E135" s="13" t="s">
        <v>89</v>
      </c>
      <c r="F135" s="11" t="s">
        <v>44</v>
      </c>
      <c r="G135" s="11" t="str">
        <f>_xlfn.XLOOKUP(Table2[[#This Row],[operator_id]],Operators[operator_id],Operators[operator_name])</f>
        <v>K. Fraser</v>
      </c>
      <c r="H135" s="11" t="s">
        <v>34</v>
      </c>
      <c r="I135" s="14">
        <v>484.6</v>
      </c>
      <c r="J135" s="14">
        <v>2362.8000000000002</v>
      </c>
      <c r="K135" s="14">
        <v>292.39999999999998</v>
      </c>
      <c r="L135" s="14">
        <v>297</v>
      </c>
      <c r="M135" s="18">
        <v>4.5999999999999996</v>
      </c>
      <c r="N135" s="55">
        <v>1.5699999999999999E-2</v>
      </c>
      <c r="O135" s="17">
        <v>14</v>
      </c>
      <c r="P135" s="18">
        <v>14.42</v>
      </c>
      <c r="Q135" s="17">
        <v>64.400000000000006</v>
      </c>
      <c r="R135" s="19">
        <v>66.7</v>
      </c>
      <c r="S135" s="17">
        <v>0.5</v>
      </c>
      <c r="T135" s="13"/>
      <c r="U135" s="4">
        <f t="shared" si="2"/>
        <v>0</v>
      </c>
      <c r="V135" s="20" t="s">
        <v>38</v>
      </c>
      <c r="X135" s="11" t="s">
        <v>324</v>
      </c>
      <c r="Y135" s="13" t="s">
        <v>57</v>
      </c>
    </row>
    <row r="136" spans="1:25" x14ac:dyDescent="0.35">
      <c r="A136" s="2" t="s">
        <v>325</v>
      </c>
      <c r="B136" s="49">
        <v>45158</v>
      </c>
      <c r="C136" s="2" t="s">
        <v>97</v>
      </c>
      <c r="D136" s="4" t="s">
        <v>92</v>
      </c>
      <c r="E136" s="4" t="s">
        <v>25</v>
      </c>
      <c r="F136" s="2" t="s">
        <v>44</v>
      </c>
      <c r="G136" s="2" t="str">
        <f>_xlfn.XLOOKUP(Table2[[#This Row],[operator_id]],Operators[operator_id],Operators[operator_name])</f>
        <v>K. Fraser</v>
      </c>
      <c r="H136" s="2" t="s">
        <v>27</v>
      </c>
      <c r="I136" s="5">
        <v>1012.9</v>
      </c>
      <c r="J136" s="5">
        <v>4438.6000000000004</v>
      </c>
      <c r="K136" s="5">
        <v>624.29999999999995</v>
      </c>
      <c r="L136" s="5">
        <v>607.4</v>
      </c>
      <c r="M136" s="52">
        <v>-16.899999999999999</v>
      </c>
      <c r="N136" s="56">
        <v>-2.7099999999999999E-2</v>
      </c>
      <c r="O136" s="8">
        <v>10.5</v>
      </c>
      <c r="P136" s="9">
        <v>9.2100000000000009</v>
      </c>
      <c r="Q136" s="8">
        <v>62.4</v>
      </c>
      <c r="R136" s="8">
        <v>61.7</v>
      </c>
      <c r="S136" s="8">
        <v>2</v>
      </c>
      <c r="T136" s="4" t="s">
        <v>146</v>
      </c>
      <c r="U136" s="4">
        <f t="shared" si="2"/>
        <v>1</v>
      </c>
      <c r="V136" s="10" t="s">
        <v>28</v>
      </c>
      <c r="X136" s="2" t="s">
        <v>326</v>
      </c>
      <c r="Y136" s="4"/>
    </row>
    <row r="137" spans="1:25" x14ac:dyDescent="0.35">
      <c r="A137" s="11" t="s">
        <v>327</v>
      </c>
      <c r="B137" s="50">
        <v>45160</v>
      </c>
      <c r="C137" s="11" t="s">
        <v>23</v>
      </c>
      <c r="D137" s="13" t="s">
        <v>24</v>
      </c>
      <c r="E137" s="13" t="s">
        <v>105</v>
      </c>
      <c r="F137" s="11" t="s">
        <v>33</v>
      </c>
      <c r="G137" s="11" t="str">
        <f>_xlfn.XLOOKUP(Table2[[#This Row],[operator_id]],Operators[operator_id],Operators[operator_name])</f>
        <v>S. Patel</v>
      </c>
      <c r="H137" s="11" t="s">
        <v>34</v>
      </c>
      <c r="I137" s="14">
        <v>1044</v>
      </c>
      <c r="J137" s="14">
        <v>5210.5</v>
      </c>
      <c r="K137" s="14">
        <v>729.9</v>
      </c>
      <c r="L137" s="14">
        <v>782.8</v>
      </c>
      <c r="M137" s="18">
        <v>52.9</v>
      </c>
      <c r="N137" s="55">
        <v>7.2499999999999995E-2</v>
      </c>
      <c r="O137" s="17">
        <v>9.5</v>
      </c>
      <c r="P137" s="18">
        <v>13.21</v>
      </c>
      <c r="Q137" s="17">
        <v>63.5</v>
      </c>
      <c r="R137" s="17">
        <v>62.6</v>
      </c>
      <c r="S137" s="17">
        <v>0</v>
      </c>
      <c r="T137" s="13"/>
      <c r="U137" s="4">
        <f t="shared" si="2"/>
        <v>1</v>
      </c>
      <c r="V137" s="10" t="s">
        <v>28</v>
      </c>
      <c r="X137" s="11" t="s">
        <v>328</v>
      </c>
      <c r="Y137" s="13"/>
    </row>
    <row r="138" spans="1:25" x14ac:dyDescent="0.35">
      <c r="A138" s="2" t="s">
        <v>329</v>
      </c>
      <c r="B138" s="49">
        <v>45163</v>
      </c>
      <c r="C138" s="2" t="s">
        <v>51</v>
      </c>
      <c r="D138" s="4" t="s">
        <v>92</v>
      </c>
      <c r="E138" s="4" t="s">
        <v>32</v>
      </c>
      <c r="F138" s="2" t="s">
        <v>44</v>
      </c>
      <c r="G138" s="2" t="str">
        <f>_xlfn.XLOOKUP(Table2[[#This Row],[operator_id]],Operators[operator_id],Operators[operator_name])</f>
        <v>K. Fraser</v>
      </c>
      <c r="H138" s="2" t="s">
        <v>34</v>
      </c>
      <c r="I138" s="5">
        <v>929.5</v>
      </c>
      <c r="J138" s="5">
        <v>4245.6000000000004</v>
      </c>
      <c r="K138" s="5">
        <v>626.1</v>
      </c>
      <c r="L138" s="5">
        <v>635.6</v>
      </c>
      <c r="M138" s="9">
        <v>9.5</v>
      </c>
      <c r="N138" s="54">
        <v>1.52E-2</v>
      </c>
      <c r="O138" s="8">
        <v>6.3</v>
      </c>
      <c r="P138" s="9">
        <v>7.27</v>
      </c>
      <c r="Q138" s="8">
        <v>68.400000000000006</v>
      </c>
      <c r="R138" s="8">
        <v>68.8</v>
      </c>
      <c r="S138" s="8">
        <v>1</v>
      </c>
      <c r="T138" s="4"/>
      <c r="U138" s="4">
        <f t="shared" si="2"/>
        <v>1</v>
      </c>
      <c r="V138" s="10" t="s">
        <v>28</v>
      </c>
      <c r="X138" s="2" t="s">
        <v>330</v>
      </c>
      <c r="Y138" s="4"/>
    </row>
    <row r="139" spans="1:25" x14ac:dyDescent="0.35">
      <c r="A139" s="11" t="s">
        <v>331</v>
      </c>
      <c r="B139" s="50">
        <v>45166</v>
      </c>
      <c r="C139" s="11" t="s">
        <v>31</v>
      </c>
      <c r="D139" s="13" t="s">
        <v>24</v>
      </c>
      <c r="E139" s="13" t="s">
        <v>48</v>
      </c>
      <c r="F139" s="11" t="s">
        <v>44</v>
      </c>
      <c r="G139" s="11" t="str">
        <f>_xlfn.XLOOKUP(Table2[[#This Row],[operator_id]],Operators[operator_id],Operators[operator_name])</f>
        <v>K. Fraser</v>
      </c>
      <c r="H139" s="11" t="s">
        <v>27</v>
      </c>
      <c r="I139" s="14">
        <v>721.9</v>
      </c>
      <c r="J139" s="14">
        <v>2678.5</v>
      </c>
      <c r="K139" s="14">
        <v>509</v>
      </c>
      <c r="L139" s="14">
        <v>502.9</v>
      </c>
      <c r="M139" s="52">
        <v>-6.1</v>
      </c>
      <c r="N139" s="56">
        <v>-1.2E-2</v>
      </c>
      <c r="O139" s="17">
        <v>15</v>
      </c>
      <c r="P139" s="18">
        <v>20.54</v>
      </c>
      <c r="Q139" s="17">
        <v>64.599999999999994</v>
      </c>
      <c r="R139" s="17">
        <v>65.5</v>
      </c>
      <c r="S139" s="17">
        <v>1</v>
      </c>
      <c r="T139" s="13" t="s">
        <v>100</v>
      </c>
      <c r="U139" s="4">
        <f t="shared" si="2"/>
        <v>1</v>
      </c>
      <c r="V139" s="10" t="s">
        <v>28</v>
      </c>
      <c r="X139" s="11" t="s">
        <v>332</v>
      </c>
      <c r="Y139" s="13"/>
    </row>
    <row r="140" spans="1:25" x14ac:dyDescent="0.35">
      <c r="A140" s="2" t="s">
        <v>333</v>
      </c>
      <c r="B140" s="49">
        <v>45173</v>
      </c>
      <c r="C140" s="2" t="s">
        <v>31</v>
      </c>
      <c r="D140" s="4" t="s">
        <v>75</v>
      </c>
      <c r="E140" s="4" t="s">
        <v>48</v>
      </c>
      <c r="F140" s="2" t="s">
        <v>26</v>
      </c>
      <c r="G140" s="2" t="str">
        <f>_xlfn.XLOOKUP(Table2[[#This Row],[operator_id]],Operators[operator_id],Operators[operator_name])</f>
        <v>M. Chen</v>
      </c>
      <c r="H140" s="2" t="s">
        <v>27</v>
      </c>
      <c r="I140" s="5">
        <v>952.6</v>
      </c>
      <c r="J140" s="5">
        <v>3426</v>
      </c>
      <c r="K140" s="5">
        <v>588.5</v>
      </c>
      <c r="L140" s="5">
        <v>581.20000000000005</v>
      </c>
      <c r="M140" s="52">
        <v>-7.3</v>
      </c>
      <c r="N140" s="56">
        <v>-1.24E-2</v>
      </c>
      <c r="O140" s="8">
        <v>17.399999999999999</v>
      </c>
      <c r="P140" s="9">
        <v>16.13</v>
      </c>
      <c r="Q140" s="8">
        <v>61.2</v>
      </c>
      <c r="R140" s="8">
        <v>62.1</v>
      </c>
      <c r="S140" s="8">
        <v>0</v>
      </c>
      <c r="T140" s="4"/>
      <c r="U140" s="4">
        <f t="shared" si="2"/>
        <v>1</v>
      </c>
      <c r="V140" s="10" t="s">
        <v>28</v>
      </c>
      <c r="X140" s="2" t="s">
        <v>334</v>
      </c>
      <c r="Y140" s="4"/>
    </row>
    <row r="141" spans="1:25" x14ac:dyDescent="0.35">
      <c r="A141" s="11" t="s">
        <v>335</v>
      </c>
      <c r="B141" s="50">
        <v>45177</v>
      </c>
      <c r="C141" s="11" t="s">
        <v>23</v>
      </c>
      <c r="D141" s="13" t="s">
        <v>92</v>
      </c>
      <c r="E141" s="13" t="s">
        <v>89</v>
      </c>
      <c r="F141" s="11" t="s">
        <v>59</v>
      </c>
      <c r="G141" s="11" t="str">
        <f>_xlfn.XLOOKUP(Table2[[#This Row],[operator_id]],Operators[operator_id],Operators[operator_name])</f>
        <v>R. Osei</v>
      </c>
      <c r="H141" s="11" t="s">
        <v>27</v>
      </c>
      <c r="I141" s="14">
        <v>1151.9000000000001</v>
      </c>
      <c r="J141" s="14">
        <v>5579</v>
      </c>
      <c r="K141" s="14">
        <v>818.2</v>
      </c>
      <c r="L141" s="14">
        <v>841.1</v>
      </c>
      <c r="M141" s="18">
        <v>22.9</v>
      </c>
      <c r="N141" s="55">
        <v>2.8000000000000001E-2</v>
      </c>
      <c r="O141" s="17">
        <v>8.1999999999999993</v>
      </c>
      <c r="P141" s="18">
        <v>7.95</v>
      </c>
      <c r="Q141" s="17">
        <v>65.099999999999994</v>
      </c>
      <c r="R141" s="19">
        <v>67.2</v>
      </c>
      <c r="S141" s="17">
        <v>0</v>
      </c>
      <c r="T141" s="13"/>
      <c r="U141" s="4">
        <f t="shared" si="2"/>
        <v>0</v>
      </c>
      <c r="V141" s="20" t="s">
        <v>38</v>
      </c>
      <c r="X141" s="11" t="s">
        <v>336</v>
      </c>
      <c r="Y141" s="13" t="s">
        <v>57</v>
      </c>
    </row>
    <row r="142" spans="1:25" x14ac:dyDescent="0.35">
      <c r="A142" s="2" t="s">
        <v>337</v>
      </c>
      <c r="B142" s="49">
        <v>45178</v>
      </c>
      <c r="C142" s="2" t="s">
        <v>42</v>
      </c>
      <c r="D142" s="4" t="s">
        <v>37</v>
      </c>
      <c r="E142" s="4" t="s">
        <v>105</v>
      </c>
      <c r="F142" s="2" t="s">
        <v>33</v>
      </c>
      <c r="G142" s="2" t="str">
        <f>_xlfn.XLOOKUP(Table2[[#This Row],[operator_id]],Operators[operator_id],Operators[operator_name])</f>
        <v>S. Patel</v>
      </c>
      <c r="H142" s="2" t="s">
        <v>34</v>
      </c>
      <c r="I142" s="5">
        <v>825.2</v>
      </c>
      <c r="J142" s="5">
        <v>4001.4</v>
      </c>
      <c r="K142" s="5">
        <v>585.20000000000005</v>
      </c>
      <c r="L142" s="5">
        <v>598.79999999999995</v>
      </c>
      <c r="M142" s="9">
        <v>13.6</v>
      </c>
      <c r="N142" s="54">
        <v>2.3199999999999998E-2</v>
      </c>
      <c r="O142" s="8">
        <v>9.6999999999999993</v>
      </c>
      <c r="P142" s="9">
        <v>7.87</v>
      </c>
      <c r="Q142" s="8">
        <v>62.2</v>
      </c>
      <c r="R142" s="8">
        <v>60.9</v>
      </c>
      <c r="S142" s="8">
        <v>3</v>
      </c>
      <c r="T142" s="4"/>
      <c r="U142" s="4">
        <f t="shared" si="2"/>
        <v>1</v>
      </c>
      <c r="V142" s="10" t="s">
        <v>28</v>
      </c>
      <c r="X142" s="2" t="s">
        <v>338</v>
      </c>
      <c r="Y142" s="4" t="s">
        <v>40</v>
      </c>
    </row>
    <row r="143" spans="1:25" x14ac:dyDescent="0.35">
      <c r="A143" s="11" t="s">
        <v>339</v>
      </c>
      <c r="B143" s="50">
        <v>45178</v>
      </c>
      <c r="C143" s="11" t="s">
        <v>31</v>
      </c>
      <c r="D143" s="13" t="s">
        <v>37</v>
      </c>
      <c r="E143" s="13" t="s">
        <v>25</v>
      </c>
      <c r="F143" s="11" t="s">
        <v>59</v>
      </c>
      <c r="G143" s="11" t="str">
        <f>_xlfn.XLOOKUP(Table2[[#This Row],[operator_id]],Operators[operator_id],Operators[operator_name])</f>
        <v>R. Osei</v>
      </c>
      <c r="H143" s="11" t="s">
        <v>27</v>
      </c>
      <c r="I143" s="14">
        <v>895.6</v>
      </c>
      <c r="J143" s="14">
        <v>3874.6</v>
      </c>
      <c r="K143" s="14">
        <v>567.79999999999995</v>
      </c>
      <c r="L143" s="14">
        <v>554.6</v>
      </c>
      <c r="M143" s="52">
        <v>-13.2</v>
      </c>
      <c r="N143" s="56">
        <v>-2.3199999999999998E-2</v>
      </c>
      <c r="O143" s="17">
        <v>11.8</v>
      </c>
      <c r="P143" s="18">
        <v>9.77</v>
      </c>
      <c r="Q143" s="17">
        <v>60.1</v>
      </c>
      <c r="R143" s="19">
        <v>57.7</v>
      </c>
      <c r="S143" s="17">
        <v>0</v>
      </c>
      <c r="T143" s="13"/>
      <c r="U143" s="4">
        <f t="shared" si="2"/>
        <v>0</v>
      </c>
      <c r="V143" s="20" t="s">
        <v>38</v>
      </c>
      <c r="X143" s="11" t="s">
        <v>340</v>
      </c>
      <c r="Y143" s="13" t="s">
        <v>61</v>
      </c>
    </row>
    <row r="144" spans="1:25" x14ac:dyDescent="0.35">
      <c r="A144" s="2" t="s">
        <v>341</v>
      </c>
      <c r="B144" s="49">
        <v>45179</v>
      </c>
      <c r="C144" s="2" t="s">
        <v>31</v>
      </c>
      <c r="D144" s="4" t="s">
        <v>75</v>
      </c>
      <c r="E144" s="4" t="s">
        <v>32</v>
      </c>
      <c r="F144" s="2" t="s">
        <v>26</v>
      </c>
      <c r="G144" s="2" t="str">
        <f>_xlfn.XLOOKUP(Table2[[#This Row],[operator_id]],Operators[operator_id],Operators[operator_name])</f>
        <v>M. Chen</v>
      </c>
      <c r="H144" s="2" t="s">
        <v>34</v>
      </c>
      <c r="I144" s="5">
        <v>493.8</v>
      </c>
      <c r="J144" s="5">
        <v>2317.5</v>
      </c>
      <c r="K144" s="5">
        <v>297.5</v>
      </c>
      <c r="L144" s="5">
        <v>257.3</v>
      </c>
      <c r="M144" s="51">
        <v>-40.200000000000003</v>
      </c>
      <c r="N144" s="57">
        <v>-0.1351</v>
      </c>
      <c r="O144" s="8">
        <v>4.0999999999999996</v>
      </c>
      <c r="P144" s="9">
        <v>4.33</v>
      </c>
      <c r="Q144" s="8">
        <v>68.3</v>
      </c>
      <c r="R144" s="8">
        <v>68.8</v>
      </c>
      <c r="S144" s="8">
        <v>3</v>
      </c>
      <c r="T144" s="4"/>
      <c r="U144" s="4">
        <f t="shared" si="2"/>
        <v>1</v>
      </c>
      <c r="V144" s="10" t="s">
        <v>28</v>
      </c>
      <c r="X144" s="2" t="s">
        <v>342</v>
      </c>
      <c r="Y144" s="4" t="s">
        <v>66</v>
      </c>
    </row>
    <row r="145" spans="1:25" x14ac:dyDescent="0.35">
      <c r="A145" s="11" t="s">
        <v>343</v>
      </c>
      <c r="B145" s="50">
        <v>45179</v>
      </c>
      <c r="C145" s="11" t="s">
        <v>97</v>
      </c>
      <c r="D145" s="13" t="s">
        <v>37</v>
      </c>
      <c r="E145" s="13" t="s">
        <v>43</v>
      </c>
      <c r="F145" s="11" t="s">
        <v>44</v>
      </c>
      <c r="G145" s="11" t="str">
        <f>_xlfn.XLOOKUP(Table2[[#This Row],[operator_id]],Operators[operator_id],Operators[operator_name])</f>
        <v>K. Fraser</v>
      </c>
      <c r="H145" s="11" t="s">
        <v>34</v>
      </c>
      <c r="I145" s="14">
        <v>444.2</v>
      </c>
      <c r="J145" s="14">
        <v>2210.4</v>
      </c>
      <c r="K145" s="14">
        <v>303.8</v>
      </c>
      <c r="L145" s="14">
        <v>307.89999999999998</v>
      </c>
      <c r="M145" s="18">
        <v>4.0999999999999996</v>
      </c>
      <c r="N145" s="55">
        <v>1.35E-2</v>
      </c>
      <c r="O145" s="17">
        <v>14.1</v>
      </c>
      <c r="P145" s="18">
        <v>15.68</v>
      </c>
      <c r="Q145" s="17">
        <v>62.2</v>
      </c>
      <c r="R145" s="19">
        <v>64.3</v>
      </c>
      <c r="S145" s="17">
        <v>5</v>
      </c>
      <c r="T145" s="13"/>
      <c r="U145" s="4">
        <f t="shared" si="2"/>
        <v>1</v>
      </c>
      <c r="V145" s="10" t="s">
        <v>28</v>
      </c>
      <c r="X145" s="11" t="s">
        <v>344</v>
      </c>
      <c r="Y145" s="13" t="s">
        <v>57</v>
      </c>
    </row>
    <row r="146" spans="1:25" x14ac:dyDescent="0.35">
      <c r="A146" s="2" t="s">
        <v>345</v>
      </c>
      <c r="B146" s="49">
        <v>45180</v>
      </c>
      <c r="C146" s="2" t="s">
        <v>23</v>
      </c>
      <c r="D146" s="4" t="s">
        <v>75</v>
      </c>
      <c r="E146" s="4" t="s">
        <v>32</v>
      </c>
      <c r="F146" s="2" t="s">
        <v>26</v>
      </c>
      <c r="G146" s="2" t="str">
        <f>_xlfn.XLOOKUP(Table2[[#This Row],[operator_id]],Operators[operator_id],Operators[operator_name])</f>
        <v>M. Chen</v>
      </c>
      <c r="H146" s="2" t="s">
        <v>34</v>
      </c>
      <c r="I146" s="5">
        <v>821.3</v>
      </c>
      <c r="J146" s="5">
        <v>4290.8999999999996</v>
      </c>
      <c r="K146" s="5">
        <v>550.29999999999995</v>
      </c>
      <c r="L146" s="5">
        <v>561</v>
      </c>
      <c r="M146" s="9">
        <v>10.7</v>
      </c>
      <c r="N146" s="54">
        <v>1.9400000000000001E-2</v>
      </c>
      <c r="O146" s="8">
        <v>12.2</v>
      </c>
      <c r="P146" s="9">
        <v>12.82</v>
      </c>
      <c r="Q146" s="8">
        <v>63.6</v>
      </c>
      <c r="R146" s="8">
        <v>63.2</v>
      </c>
      <c r="S146" s="8">
        <v>0</v>
      </c>
      <c r="T146" s="4"/>
      <c r="U146" s="4">
        <f t="shared" si="2"/>
        <v>1</v>
      </c>
      <c r="V146" s="10" t="s">
        <v>28</v>
      </c>
      <c r="X146" s="2" t="s">
        <v>346</v>
      </c>
      <c r="Y146" s="4"/>
    </row>
    <row r="147" spans="1:25" x14ac:dyDescent="0.35">
      <c r="A147" s="11" t="s">
        <v>347</v>
      </c>
      <c r="B147" s="50">
        <v>45185</v>
      </c>
      <c r="C147" s="11" t="s">
        <v>31</v>
      </c>
      <c r="D147" s="13" t="s">
        <v>54</v>
      </c>
      <c r="E147" s="13" t="s">
        <v>32</v>
      </c>
      <c r="F147" s="11" t="s">
        <v>59</v>
      </c>
      <c r="G147" s="11" t="str">
        <f>_xlfn.XLOOKUP(Table2[[#This Row],[operator_id]],Operators[operator_id],Operators[operator_name])</f>
        <v>R. Osei</v>
      </c>
      <c r="H147" s="11" t="s">
        <v>34</v>
      </c>
      <c r="I147" s="14">
        <v>1191.5999999999999</v>
      </c>
      <c r="J147" s="14">
        <v>5473.3</v>
      </c>
      <c r="K147" s="14">
        <v>792.5</v>
      </c>
      <c r="L147" s="14">
        <v>753.4</v>
      </c>
      <c r="M147" s="52">
        <v>-39.1</v>
      </c>
      <c r="N147" s="56">
        <v>-4.9299999999999997E-2</v>
      </c>
      <c r="O147" s="17">
        <v>16.3</v>
      </c>
      <c r="P147" s="18">
        <v>15.52</v>
      </c>
      <c r="Q147" s="17">
        <v>66.099999999999994</v>
      </c>
      <c r="R147" s="17">
        <v>65.8</v>
      </c>
      <c r="S147" s="17">
        <v>0.5</v>
      </c>
      <c r="T147" s="13" t="s">
        <v>100</v>
      </c>
      <c r="U147" s="4">
        <f t="shared" si="2"/>
        <v>1</v>
      </c>
      <c r="V147" s="10" t="s">
        <v>28</v>
      </c>
      <c r="X147" s="11" t="s">
        <v>348</v>
      </c>
      <c r="Y147" s="13"/>
    </row>
    <row r="148" spans="1:25" x14ac:dyDescent="0.35">
      <c r="A148" s="2" t="s">
        <v>349</v>
      </c>
      <c r="B148" s="49">
        <v>45188</v>
      </c>
      <c r="C148" s="2" t="s">
        <v>51</v>
      </c>
      <c r="D148" s="4" t="s">
        <v>37</v>
      </c>
      <c r="E148" s="4" t="s">
        <v>43</v>
      </c>
      <c r="F148" s="2" t="s">
        <v>26</v>
      </c>
      <c r="G148" s="2" t="str">
        <f>_xlfn.XLOOKUP(Table2[[#This Row],[operator_id]],Operators[operator_id],Operators[operator_name])</f>
        <v>M. Chen</v>
      </c>
      <c r="H148" s="2" t="s">
        <v>34</v>
      </c>
      <c r="I148" s="5">
        <v>962.8</v>
      </c>
      <c r="J148" s="5">
        <v>3708.4</v>
      </c>
      <c r="K148" s="5">
        <v>611.1</v>
      </c>
      <c r="L148" s="5">
        <v>623.79999999999995</v>
      </c>
      <c r="M148" s="9">
        <v>12.7</v>
      </c>
      <c r="N148" s="54">
        <v>2.0799999999999999E-2</v>
      </c>
      <c r="O148" s="8">
        <v>10.3</v>
      </c>
      <c r="P148" s="9">
        <v>9</v>
      </c>
      <c r="Q148" s="8">
        <v>69.5</v>
      </c>
      <c r="R148" s="19">
        <v>67.2</v>
      </c>
      <c r="S148" s="8">
        <v>0</v>
      </c>
      <c r="T148" s="4"/>
      <c r="U148" s="4">
        <f t="shared" si="2"/>
        <v>0</v>
      </c>
      <c r="V148" s="20" t="s">
        <v>38</v>
      </c>
      <c r="X148" s="2" t="s">
        <v>350</v>
      </c>
      <c r="Y148" s="4" t="s">
        <v>61</v>
      </c>
    </row>
    <row r="149" spans="1:25" x14ac:dyDescent="0.35">
      <c r="A149" s="11" t="s">
        <v>351</v>
      </c>
      <c r="B149" s="50">
        <v>45188</v>
      </c>
      <c r="C149" s="11" t="s">
        <v>31</v>
      </c>
      <c r="D149" s="13" t="s">
        <v>92</v>
      </c>
      <c r="E149" s="13" t="s">
        <v>89</v>
      </c>
      <c r="F149" s="11" t="s">
        <v>33</v>
      </c>
      <c r="G149" s="11" t="str">
        <f>_xlfn.XLOOKUP(Table2[[#This Row],[operator_id]],Operators[operator_id],Operators[operator_name])</f>
        <v>S. Patel</v>
      </c>
      <c r="H149" s="11" t="s">
        <v>34</v>
      </c>
      <c r="I149" s="14">
        <v>652.20000000000005</v>
      </c>
      <c r="J149" s="14">
        <v>3438.5</v>
      </c>
      <c r="K149" s="14">
        <v>430.4</v>
      </c>
      <c r="L149" s="14">
        <v>423.8</v>
      </c>
      <c r="M149" s="52">
        <v>-6.6</v>
      </c>
      <c r="N149" s="56">
        <v>-1.5299999999999999E-2</v>
      </c>
      <c r="O149" s="17">
        <v>4.7</v>
      </c>
      <c r="P149" s="18">
        <v>6.02</v>
      </c>
      <c r="Q149" s="17">
        <v>64.400000000000006</v>
      </c>
      <c r="R149" s="19">
        <v>62.6</v>
      </c>
      <c r="S149" s="17">
        <v>5</v>
      </c>
      <c r="T149" s="13"/>
      <c r="U149" s="4">
        <f t="shared" si="2"/>
        <v>0</v>
      </c>
      <c r="V149" s="20" t="s">
        <v>38</v>
      </c>
      <c r="X149" s="11" t="s">
        <v>352</v>
      </c>
      <c r="Y149" s="13" t="s">
        <v>40</v>
      </c>
    </row>
    <row r="150" spans="1:25" x14ac:dyDescent="0.35">
      <c r="A150" s="2" t="s">
        <v>353</v>
      </c>
      <c r="B150" s="49">
        <v>45191</v>
      </c>
      <c r="C150" s="2" t="s">
        <v>97</v>
      </c>
      <c r="D150" s="4" t="s">
        <v>75</v>
      </c>
      <c r="E150" s="4" t="s">
        <v>105</v>
      </c>
      <c r="F150" s="2" t="s">
        <v>55</v>
      </c>
      <c r="G150" s="2" t="str">
        <f>_xlfn.XLOOKUP(Table2[[#This Row],[operator_id]],Operators[operator_id],Operators[operator_name])</f>
        <v>T. Dinesh</v>
      </c>
      <c r="H150" s="2" t="s">
        <v>34</v>
      </c>
      <c r="I150" s="5">
        <v>784.4</v>
      </c>
      <c r="J150" s="5">
        <v>4141.2</v>
      </c>
      <c r="K150" s="5">
        <v>486.3</v>
      </c>
      <c r="L150" s="5">
        <v>496.2</v>
      </c>
      <c r="M150" s="9">
        <v>9.9</v>
      </c>
      <c r="N150" s="54">
        <v>2.0400000000000001E-2</v>
      </c>
      <c r="O150" s="8">
        <v>16.100000000000001</v>
      </c>
      <c r="P150" s="9">
        <v>14.72</v>
      </c>
      <c r="Q150" s="8">
        <v>67</v>
      </c>
      <c r="R150" s="8">
        <v>67.8</v>
      </c>
      <c r="S150" s="8">
        <v>0</v>
      </c>
      <c r="T150" s="4"/>
      <c r="U150" s="4">
        <f t="shared" si="2"/>
        <v>1</v>
      </c>
      <c r="V150" s="10" t="s">
        <v>28</v>
      </c>
      <c r="X150" s="2" t="s">
        <v>354</v>
      </c>
      <c r="Y150" s="4"/>
    </row>
    <row r="151" spans="1:25" x14ac:dyDescent="0.35">
      <c r="A151" s="11" t="s">
        <v>355</v>
      </c>
      <c r="B151" s="50">
        <v>45194</v>
      </c>
      <c r="C151" s="11" t="s">
        <v>51</v>
      </c>
      <c r="D151" s="13" t="s">
        <v>54</v>
      </c>
      <c r="E151" s="13" t="s">
        <v>105</v>
      </c>
      <c r="F151" s="11" t="s">
        <v>59</v>
      </c>
      <c r="G151" s="11" t="str">
        <f>_xlfn.XLOOKUP(Table2[[#This Row],[operator_id]],Operators[operator_id],Operators[operator_name])</f>
        <v>R. Osei</v>
      </c>
      <c r="H151" s="11" t="s">
        <v>27</v>
      </c>
      <c r="I151" s="14">
        <v>1016.6</v>
      </c>
      <c r="J151" s="14">
        <v>4328.3999999999996</v>
      </c>
      <c r="K151" s="14">
        <v>581.20000000000005</v>
      </c>
      <c r="L151" s="14">
        <v>585.9</v>
      </c>
      <c r="M151" s="18">
        <v>4.7</v>
      </c>
      <c r="N151" s="55">
        <v>8.0999999999999996E-3</v>
      </c>
      <c r="O151" s="17">
        <v>5.9</v>
      </c>
      <c r="P151" s="18">
        <v>7.41</v>
      </c>
      <c r="Q151" s="17">
        <v>68.5</v>
      </c>
      <c r="R151" s="17">
        <v>69</v>
      </c>
      <c r="S151" s="17">
        <v>1</v>
      </c>
      <c r="T151" s="13" t="s">
        <v>239</v>
      </c>
      <c r="U151" s="4">
        <f t="shared" si="2"/>
        <v>1</v>
      </c>
      <c r="V151" s="10" t="s">
        <v>28</v>
      </c>
      <c r="X151" s="11" t="s">
        <v>356</v>
      </c>
      <c r="Y151" s="13"/>
    </row>
    <row r="152" spans="1:25" x14ac:dyDescent="0.35">
      <c r="A152" s="2" t="s">
        <v>357</v>
      </c>
      <c r="B152" s="49">
        <v>45194</v>
      </c>
      <c r="C152" s="2" t="s">
        <v>31</v>
      </c>
      <c r="D152" s="4" t="s">
        <v>37</v>
      </c>
      <c r="E152" s="4" t="s">
        <v>48</v>
      </c>
      <c r="F152" s="2" t="s">
        <v>33</v>
      </c>
      <c r="G152" s="2" t="str">
        <f>_xlfn.XLOOKUP(Table2[[#This Row],[operator_id]],Operators[operator_id],Operators[operator_name])</f>
        <v>S. Patel</v>
      </c>
      <c r="H152" s="2" t="s">
        <v>27</v>
      </c>
      <c r="I152" s="5">
        <v>1082.3</v>
      </c>
      <c r="J152" s="5">
        <v>5386</v>
      </c>
      <c r="K152" s="5">
        <v>682.2</v>
      </c>
      <c r="L152" s="5">
        <v>651.1</v>
      </c>
      <c r="M152" s="52">
        <v>-31.1</v>
      </c>
      <c r="N152" s="56">
        <v>-4.5600000000000002E-2</v>
      </c>
      <c r="O152" s="8">
        <v>12.9</v>
      </c>
      <c r="P152" s="9">
        <v>12.86</v>
      </c>
      <c r="Q152" s="8">
        <v>61.9</v>
      </c>
      <c r="R152" s="8">
        <v>60.7</v>
      </c>
      <c r="S152" s="8">
        <v>0.5</v>
      </c>
      <c r="T152" s="4"/>
      <c r="U152" s="4">
        <f t="shared" si="2"/>
        <v>1</v>
      </c>
      <c r="V152" s="10" t="s">
        <v>28</v>
      </c>
      <c r="X152" s="2" t="s">
        <v>358</v>
      </c>
      <c r="Y152" s="4"/>
    </row>
    <row r="153" spans="1:25" x14ac:dyDescent="0.35">
      <c r="A153" s="11" t="s">
        <v>359</v>
      </c>
      <c r="B153" s="50">
        <v>45200</v>
      </c>
      <c r="C153" s="11" t="s">
        <v>31</v>
      </c>
      <c r="D153" s="13" t="s">
        <v>37</v>
      </c>
      <c r="E153" s="13" t="s">
        <v>48</v>
      </c>
      <c r="F153" s="11" t="s">
        <v>59</v>
      </c>
      <c r="G153" s="11" t="str">
        <f>_xlfn.XLOOKUP(Table2[[#This Row],[operator_id]],Operators[operator_id],Operators[operator_name])</f>
        <v>R. Osei</v>
      </c>
      <c r="H153" s="11" t="s">
        <v>27</v>
      </c>
      <c r="I153" s="14">
        <v>842.9</v>
      </c>
      <c r="J153" s="14">
        <v>4118.5</v>
      </c>
      <c r="K153" s="14">
        <v>574.4</v>
      </c>
      <c r="L153" s="14">
        <v>555.70000000000005</v>
      </c>
      <c r="M153" s="52">
        <v>-18.7</v>
      </c>
      <c r="N153" s="56">
        <v>-3.2599999999999997E-2</v>
      </c>
      <c r="O153" s="17">
        <v>4.5</v>
      </c>
      <c r="P153" s="18">
        <v>6.05</v>
      </c>
      <c r="Q153" s="17">
        <v>64.2</v>
      </c>
      <c r="R153" s="17">
        <v>64.900000000000006</v>
      </c>
      <c r="S153" s="17">
        <v>0</v>
      </c>
      <c r="T153" s="13"/>
      <c r="U153" s="4">
        <f t="shared" si="2"/>
        <v>1</v>
      </c>
      <c r="V153" s="10" t="s">
        <v>28</v>
      </c>
      <c r="X153" s="11" t="s">
        <v>360</v>
      </c>
      <c r="Y153" s="13"/>
    </row>
    <row r="154" spans="1:25" x14ac:dyDescent="0.35">
      <c r="A154" s="2" t="s">
        <v>361</v>
      </c>
      <c r="B154" s="49">
        <v>45202</v>
      </c>
      <c r="C154" s="2" t="s">
        <v>97</v>
      </c>
      <c r="D154" s="4" t="s">
        <v>92</v>
      </c>
      <c r="E154" s="4" t="s">
        <v>105</v>
      </c>
      <c r="F154" s="2" t="s">
        <v>33</v>
      </c>
      <c r="G154" s="2" t="str">
        <f>_xlfn.XLOOKUP(Table2[[#This Row],[operator_id]],Operators[operator_id],Operators[operator_name])</f>
        <v>S. Patel</v>
      </c>
      <c r="H154" s="2" t="s">
        <v>34</v>
      </c>
      <c r="I154" s="5">
        <v>570.29999999999995</v>
      </c>
      <c r="J154" s="5">
        <v>2146</v>
      </c>
      <c r="K154" s="5">
        <v>319.5</v>
      </c>
      <c r="L154" s="5">
        <v>327.10000000000002</v>
      </c>
      <c r="M154" s="9">
        <v>7.6</v>
      </c>
      <c r="N154" s="54">
        <v>2.3800000000000002E-2</v>
      </c>
      <c r="O154" s="8">
        <v>4.5</v>
      </c>
      <c r="P154" s="9">
        <v>3.8</v>
      </c>
      <c r="Q154" s="8">
        <v>63.9</v>
      </c>
      <c r="R154" s="19">
        <v>61.6</v>
      </c>
      <c r="S154" s="8">
        <v>2</v>
      </c>
      <c r="T154" s="4" t="s">
        <v>45</v>
      </c>
      <c r="U154" s="4">
        <f t="shared" si="2"/>
        <v>0</v>
      </c>
      <c r="V154" s="20" t="s">
        <v>38</v>
      </c>
      <c r="X154" s="2" t="s">
        <v>362</v>
      </c>
      <c r="Y154" s="4" t="s">
        <v>61</v>
      </c>
    </row>
    <row r="155" spans="1:25" x14ac:dyDescent="0.35">
      <c r="A155" s="11" t="s">
        <v>363</v>
      </c>
      <c r="B155" s="50">
        <v>45203</v>
      </c>
      <c r="C155" s="11" t="s">
        <v>97</v>
      </c>
      <c r="D155" s="13" t="s">
        <v>92</v>
      </c>
      <c r="E155" s="13" t="s">
        <v>48</v>
      </c>
      <c r="F155" s="11" t="s">
        <v>44</v>
      </c>
      <c r="G155" s="11" t="str">
        <f>_xlfn.XLOOKUP(Table2[[#This Row],[operator_id]],Operators[operator_id],Operators[operator_name])</f>
        <v>K. Fraser</v>
      </c>
      <c r="H155" s="11" t="s">
        <v>34</v>
      </c>
      <c r="I155" s="14">
        <v>978.8</v>
      </c>
      <c r="J155" s="14">
        <v>5223.8999999999996</v>
      </c>
      <c r="K155" s="14">
        <v>696.6</v>
      </c>
      <c r="L155" s="14">
        <v>687.9</v>
      </c>
      <c r="M155" s="52">
        <v>-8.6999999999999993</v>
      </c>
      <c r="N155" s="56">
        <v>-1.2500000000000001E-2</v>
      </c>
      <c r="O155" s="17">
        <v>4.5999999999999996</v>
      </c>
      <c r="P155" s="18">
        <v>4.41</v>
      </c>
      <c r="Q155" s="17">
        <v>67</v>
      </c>
      <c r="R155" s="17">
        <v>67.7</v>
      </c>
      <c r="S155" s="17">
        <v>0</v>
      </c>
      <c r="T155" s="13"/>
      <c r="U155" s="4">
        <f t="shared" si="2"/>
        <v>1</v>
      </c>
      <c r="V155" s="10" t="s">
        <v>28</v>
      </c>
      <c r="X155" s="11" t="s">
        <v>364</v>
      </c>
      <c r="Y155" s="13"/>
    </row>
    <row r="156" spans="1:25" x14ac:dyDescent="0.35">
      <c r="A156" s="2" t="s">
        <v>365</v>
      </c>
      <c r="B156" s="49">
        <v>45207</v>
      </c>
      <c r="C156" s="2" t="s">
        <v>42</v>
      </c>
      <c r="D156" s="4" t="s">
        <v>37</v>
      </c>
      <c r="E156" s="4" t="s">
        <v>48</v>
      </c>
      <c r="F156" s="2" t="s">
        <v>44</v>
      </c>
      <c r="G156" s="2" t="str">
        <f>_xlfn.XLOOKUP(Table2[[#This Row],[operator_id]],Operators[operator_id],Operators[operator_name])</f>
        <v>K. Fraser</v>
      </c>
      <c r="H156" s="2" t="s">
        <v>27</v>
      </c>
      <c r="I156" s="5">
        <v>729</v>
      </c>
      <c r="J156" s="5">
        <v>3356.9</v>
      </c>
      <c r="K156" s="5">
        <v>433.8</v>
      </c>
      <c r="L156" s="5">
        <v>433.5</v>
      </c>
      <c r="M156" s="52">
        <v>-0.3</v>
      </c>
      <c r="N156" s="56">
        <v>-6.9999999999999999E-4</v>
      </c>
      <c r="O156" s="8">
        <v>15.7</v>
      </c>
      <c r="P156" s="9">
        <v>15.82</v>
      </c>
      <c r="Q156" s="8">
        <v>69</v>
      </c>
      <c r="R156" s="8">
        <v>67.599999999999994</v>
      </c>
      <c r="S156" s="8">
        <v>3</v>
      </c>
      <c r="T156" s="4" t="s">
        <v>45</v>
      </c>
      <c r="U156" s="4">
        <f t="shared" si="2"/>
        <v>0</v>
      </c>
      <c r="V156" s="20" t="s">
        <v>38</v>
      </c>
      <c r="X156" s="2" t="s">
        <v>366</v>
      </c>
      <c r="Y156" s="4" t="s">
        <v>40</v>
      </c>
    </row>
    <row r="157" spans="1:25" x14ac:dyDescent="0.35">
      <c r="A157" s="11" t="s">
        <v>367</v>
      </c>
      <c r="B157" s="50">
        <v>45207</v>
      </c>
      <c r="C157" s="11" t="s">
        <v>51</v>
      </c>
      <c r="D157" s="13" t="s">
        <v>37</v>
      </c>
      <c r="E157" s="13" t="s">
        <v>89</v>
      </c>
      <c r="F157" s="11" t="s">
        <v>55</v>
      </c>
      <c r="G157" s="11" t="str">
        <f>_xlfn.XLOOKUP(Table2[[#This Row],[operator_id]],Operators[operator_id],Operators[operator_name])</f>
        <v>T. Dinesh</v>
      </c>
      <c r="H157" s="11" t="s">
        <v>27</v>
      </c>
      <c r="I157" s="14">
        <v>813.2</v>
      </c>
      <c r="J157" s="14">
        <v>3689.4</v>
      </c>
      <c r="K157" s="14">
        <v>530.79999999999995</v>
      </c>
      <c r="L157" s="14">
        <v>546.5</v>
      </c>
      <c r="M157" s="18">
        <v>15.7</v>
      </c>
      <c r="N157" s="55">
        <v>2.9600000000000001E-2</v>
      </c>
      <c r="O157" s="17">
        <v>12.1</v>
      </c>
      <c r="P157" s="18">
        <v>15.46</v>
      </c>
      <c r="Q157" s="17">
        <v>64.599999999999994</v>
      </c>
      <c r="R157" s="19">
        <v>66.400000000000006</v>
      </c>
      <c r="S157" s="17">
        <v>0</v>
      </c>
      <c r="T157" s="13"/>
      <c r="U157" s="4">
        <f t="shared" si="2"/>
        <v>1</v>
      </c>
      <c r="V157" s="10" t="s">
        <v>28</v>
      </c>
      <c r="X157" s="11" t="s">
        <v>368</v>
      </c>
      <c r="Y157" s="13"/>
    </row>
    <row r="158" spans="1:25" x14ac:dyDescent="0.35">
      <c r="A158" s="2" t="s">
        <v>369</v>
      </c>
      <c r="B158" s="49">
        <v>45210</v>
      </c>
      <c r="C158" s="2" t="s">
        <v>51</v>
      </c>
      <c r="D158" s="4" t="s">
        <v>24</v>
      </c>
      <c r="E158" s="4" t="s">
        <v>105</v>
      </c>
      <c r="F158" s="2" t="s">
        <v>55</v>
      </c>
      <c r="G158" s="2" t="str">
        <f>_xlfn.XLOOKUP(Table2[[#This Row],[operator_id]],Operators[operator_id],Operators[operator_name])</f>
        <v>T. Dinesh</v>
      </c>
      <c r="H158" s="2" t="s">
        <v>34</v>
      </c>
      <c r="I158" s="5">
        <v>1030.0999999999999</v>
      </c>
      <c r="J158" s="5">
        <v>4267.3</v>
      </c>
      <c r="K158" s="5">
        <v>720.3</v>
      </c>
      <c r="L158" s="5">
        <v>713.8</v>
      </c>
      <c r="M158" s="52">
        <v>-6.5</v>
      </c>
      <c r="N158" s="56">
        <v>-8.9999999999999993E-3</v>
      </c>
      <c r="O158" s="8">
        <v>14.1</v>
      </c>
      <c r="P158" s="9">
        <v>12.73</v>
      </c>
      <c r="Q158" s="8">
        <v>66.400000000000006</v>
      </c>
      <c r="R158" s="8">
        <v>67.8</v>
      </c>
      <c r="S158" s="8">
        <v>2</v>
      </c>
      <c r="T158" s="4"/>
      <c r="U158" s="4">
        <f t="shared" si="2"/>
        <v>1</v>
      </c>
      <c r="V158" s="10" t="s">
        <v>28</v>
      </c>
      <c r="X158" s="2" t="s">
        <v>370</v>
      </c>
      <c r="Y158" s="4"/>
    </row>
    <row r="159" spans="1:25" x14ac:dyDescent="0.35">
      <c r="A159" s="11" t="s">
        <v>371</v>
      </c>
      <c r="B159" s="50">
        <v>45212</v>
      </c>
      <c r="C159" s="11" t="s">
        <v>97</v>
      </c>
      <c r="D159" s="13" t="s">
        <v>75</v>
      </c>
      <c r="E159" s="13" t="s">
        <v>48</v>
      </c>
      <c r="F159" s="11" t="s">
        <v>33</v>
      </c>
      <c r="G159" s="11" t="str">
        <f>_xlfn.XLOOKUP(Table2[[#This Row],[operator_id]],Operators[operator_id],Operators[operator_name])</f>
        <v>S. Patel</v>
      </c>
      <c r="H159" s="11" t="s">
        <v>34</v>
      </c>
      <c r="I159" s="14">
        <v>1090.9000000000001</v>
      </c>
      <c r="J159" s="14">
        <v>5440.4</v>
      </c>
      <c r="K159" s="14">
        <v>620.9</v>
      </c>
      <c r="L159" s="14">
        <v>620</v>
      </c>
      <c r="M159" s="52">
        <v>-0.9</v>
      </c>
      <c r="N159" s="56">
        <v>-1.4E-3</v>
      </c>
      <c r="O159" s="17">
        <v>8.6999999999999993</v>
      </c>
      <c r="P159" s="18">
        <v>11.46</v>
      </c>
      <c r="Q159" s="17">
        <v>67.3</v>
      </c>
      <c r="R159" s="17">
        <v>66.7</v>
      </c>
      <c r="S159" s="17">
        <v>1</v>
      </c>
      <c r="T159" s="13" t="s">
        <v>239</v>
      </c>
      <c r="U159" s="4">
        <f t="shared" si="2"/>
        <v>1</v>
      </c>
      <c r="V159" s="10" t="s">
        <v>28</v>
      </c>
      <c r="X159" s="11" t="s">
        <v>372</v>
      </c>
      <c r="Y159" s="13"/>
    </row>
    <row r="160" spans="1:25" x14ac:dyDescent="0.35">
      <c r="A160" s="2" t="s">
        <v>373</v>
      </c>
      <c r="B160" s="49">
        <v>45213</v>
      </c>
      <c r="C160" s="2" t="s">
        <v>42</v>
      </c>
      <c r="D160" s="4" t="s">
        <v>37</v>
      </c>
      <c r="E160" s="4" t="s">
        <v>89</v>
      </c>
      <c r="F160" s="2" t="s">
        <v>26</v>
      </c>
      <c r="G160" s="2" t="str">
        <f>_xlfn.XLOOKUP(Table2[[#This Row],[operator_id]],Operators[operator_id],Operators[operator_name])</f>
        <v>M. Chen</v>
      </c>
      <c r="H160" s="2" t="s">
        <v>34</v>
      </c>
      <c r="I160" s="5">
        <v>560.20000000000005</v>
      </c>
      <c r="J160" s="5">
        <v>1983.8</v>
      </c>
      <c r="K160" s="5">
        <v>318.10000000000002</v>
      </c>
      <c r="L160" s="5">
        <v>321</v>
      </c>
      <c r="M160" s="9">
        <v>2.9</v>
      </c>
      <c r="N160" s="54">
        <v>9.1000000000000004E-3</v>
      </c>
      <c r="O160" s="8">
        <v>17.5</v>
      </c>
      <c r="P160" s="9">
        <v>18.38</v>
      </c>
      <c r="Q160" s="8">
        <v>63.7</v>
      </c>
      <c r="R160" s="8">
        <v>64</v>
      </c>
      <c r="S160" s="8">
        <v>5</v>
      </c>
      <c r="T160" s="4"/>
      <c r="U160" s="4">
        <f t="shared" si="2"/>
        <v>0</v>
      </c>
      <c r="V160" s="20" t="s">
        <v>38</v>
      </c>
      <c r="X160" s="2" t="s">
        <v>374</v>
      </c>
      <c r="Y160" s="4" t="s">
        <v>40</v>
      </c>
    </row>
    <row r="161" spans="1:25" x14ac:dyDescent="0.35">
      <c r="A161" s="11" t="s">
        <v>375</v>
      </c>
      <c r="B161" s="50">
        <v>45213</v>
      </c>
      <c r="C161" s="11" t="s">
        <v>97</v>
      </c>
      <c r="D161" s="13" t="s">
        <v>54</v>
      </c>
      <c r="E161" s="13" t="s">
        <v>89</v>
      </c>
      <c r="F161" s="11" t="s">
        <v>26</v>
      </c>
      <c r="G161" s="11" t="str">
        <f>_xlfn.XLOOKUP(Table2[[#This Row],[operator_id]],Operators[operator_id],Operators[operator_name])</f>
        <v>M. Chen</v>
      </c>
      <c r="H161" s="11" t="s">
        <v>27</v>
      </c>
      <c r="I161" s="14">
        <v>994.7</v>
      </c>
      <c r="J161" s="14">
        <v>3707.4</v>
      </c>
      <c r="K161" s="14">
        <v>568.29999999999995</v>
      </c>
      <c r="L161" s="14">
        <v>549.70000000000005</v>
      </c>
      <c r="M161" s="52">
        <v>-18.600000000000001</v>
      </c>
      <c r="N161" s="56">
        <v>-3.27E-2</v>
      </c>
      <c r="O161" s="17">
        <v>4.5</v>
      </c>
      <c r="P161" s="18">
        <v>4.9800000000000004</v>
      </c>
      <c r="Q161" s="17">
        <v>63.8</v>
      </c>
      <c r="R161" s="17">
        <v>63.1</v>
      </c>
      <c r="S161" s="17">
        <v>5</v>
      </c>
      <c r="T161" s="13" t="s">
        <v>70</v>
      </c>
      <c r="U161" s="4">
        <f t="shared" si="2"/>
        <v>1</v>
      </c>
      <c r="V161" s="10" t="s">
        <v>28</v>
      </c>
      <c r="X161" s="11" t="s">
        <v>376</v>
      </c>
      <c r="Y161" s="13" t="s">
        <v>40</v>
      </c>
    </row>
    <row r="162" spans="1:25" x14ac:dyDescent="0.35">
      <c r="A162" s="2" t="s">
        <v>377</v>
      </c>
      <c r="B162" s="49">
        <v>45213</v>
      </c>
      <c r="C162" s="2" t="s">
        <v>31</v>
      </c>
      <c r="D162" s="4" t="s">
        <v>37</v>
      </c>
      <c r="E162" s="4" t="s">
        <v>32</v>
      </c>
      <c r="F162" s="2" t="s">
        <v>26</v>
      </c>
      <c r="G162" s="2" t="str">
        <f>_xlfn.XLOOKUP(Table2[[#This Row],[operator_id]],Operators[operator_id],Operators[operator_name])</f>
        <v>M. Chen</v>
      </c>
      <c r="H162" s="2" t="s">
        <v>34</v>
      </c>
      <c r="I162" s="5">
        <v>985.9</v>
      </c>
      <c r="J162" s="5">
        <v>4335.2</v>
      </c>
      <c r="K162" s="5">
        <v>666.8</v>
      </c>
      <c r="L162" s="5">
        <v>642.29999999999995</v>
      </c>
      <c r="M162" s="52">
        <v>-24.5</v>
      </c>
      <c r="N162" s="56">
        <v>-3.6700000000000003E-2</v>
      </c>
      <c r="O162" s="8">
        <v>7.5</v>
      </c>
      <c r="P162" s="9">
        <v>7.68</v>
      </c>
      <c r="Q162" s="8">
        <v>63.8</v>
      </c>
      <c r="R162" s="19">
        <v>61.7</v>
      </c>
      <c r="S162" s="8">
        <v>1</v>
      </c>
      <c r="T162" s="4" t="s">
        <v>86</v>
      </c>
      <c r="U162" s="4">
        <f t="shared" si="2"/>
        <v>1</v>
      </c>
      <c r="V162" s="10" t="s">
        <v>28</v>
      </c>
      <c r="X162" s="2" t="s">
        <v>378</v>
      </c>
      <c r="Y162" s="4" t="s">
        <v>61</v>
      </c>
    </row>
    <row r="163" spans="1:25" x14ac:dyDescent="0.35">
      <c r="A163" s="11" t="s">
        <v>379</v>
      </c>
      <c r="B163" s="50">
        <v>45215</v>
      </c>
      <c r="C163" s="11" t="s">
        <v>23</v>
      </c>
      <c r="D163" s="13" t="s">
        <v>75</v>
      </c>
      <c r="E163" s="13" t="s">
        <v>32</v>
      </c>
      <c r="F163" s="11" t="s">
        <v>44</v>
      </c>
      <c r="G163" s="11" t="str">
        <f>_xlfn.XLOOKUP(Table2[[#This Row],[operator_id]],Operators[operator_id],Operators[operator_name])</f>
        <v>K. Fraser</v>
      </c>
      <c r="H163" s="11" t="s">
        <v>34</v>
      </c>
      <c r="I163" s="14">
        <v>1106.5999999999999</v>
      </c>
      <c r="J163" s="14">
        <v>5328.7</v>
      </c>
      <c r="K163" s="14">
        <v>717.5</v>
      </c>
      <c r="L163" s="14">
        <v>657.2</v>
      </c>
      <c r="M163" s="51">
        <v>-60.3</v>
      </c>
      <c r="N163" s="57">
        <v>-8.4000000000000005E-2</v>
      </c>
      <c r="O163" s="17">
        <v>7.1</v>
      </c>
      <c r="P163" s="18">
        <v>8.52</v>
      </c>
      <c r="Q163" s="17">
        <v>69.900000000000006</v>
      </c>
      <c r="R163" s="19">
        <v>67.5</v>
      </c>
      <c r="S163" s="17">
        <v>0</v>
      </c>
      <c r="T163" s="13"/>
      <c r="U163" s="4">
        <f t="shared" si="2"/>
        <v>0</v>
      </c>
      <c r="V163" s="20" t="s">
        <v>38</v>
      </c>
      <c r="X163" s="11" t="s">
        <v>380</v>
      </c>
      <c r="Y163" s="13" t="s">
        <v>66</v>
      </c>
    </row>
    <row r="164" spans="1:25" x14ac:dyDescent="0.35">
      <c r="A164" s="2" t="s">
        <v>381</v>
      </c>
      <c r="B164" s="49">
        <v>45216</v>
      </c>
      <c r="C164" s="2" t="s">
        <v>51</v>
      </c>
      <c r="D164" s="4" t="s">
        <v>24</v>
      </c>
      <c r="E164" s="4" t="s">
        <v>48</v>
      </c>
      <c r="F164" s="2" t="s">
        <v>44</v>
      </c>
      <c r="G164" s="2" t="str">
        <f>_xlfn.XLOOKUP(Table2[[#This Row],[operator_id]],Operators[operator_id],Operators[operator_name])</f>
        <v>K. Fraser</v>
      </c>
      <c r="H164" s="2" t="s">
        <v>34</v>
      </c>
      <c r="I164" s="5">
        <v>1055.0999999999999</v>
      </c>
      <c r="J164" s="5">
        <v>4668.3</v>
      </c>
      <c r="K164" s="5">
        <v>626.1</v>
      </c>
      <c r="L164" s="5">
        <v>646.70000000000005</v>
      </c>
      <c r="M164" s="9">
        <v>20.6</v>
      </c>
      <c r="N164" s="54">
        <v>3.2899999999999999E-2</v>
      </c>
      <c r="O164" s="8">
        <v>6.9</v>
      </c>
      <c r="P164" s="9">
        <v>5.88</v>
      </c>
      <c r="Q164" s="8">
        <v>63.8</v>
      </c>
      <c r="R164" s="8">
        <v>64</v>
      </c>
      <c r="S164" s="8">
        <v>5</v>
      </c>
      <c r="T164" s="4"/>
      <c r="U164" s="4">
        <f t="shared" si="2"/>
        <v>1</v>
      </c>
      <c r="V164" s="10" t="s">
        <v>28</v>
      </c>
      <c r="X164" s="2" t="s">
        <v>382</v>
      </c>
      <c r="Y164" s="4" t="s">
        <v>40</v>
      </c>
    </row>
    <row r="165" spans="1:25" x14ac:dyDescent="0.35">
      <c r="A165" s="11" t="s">
        <v>383</v>
      </c>
      <c r="B165" s="50">
        <v>45217</v>
      </c>
      <c r="C165" s="11" t="s">
        <v>51</v>
      </c>
      <c r="D165" s="13" t="s">
        <v>37</v>
      </c>
      <c r="E165" s="13" t="s">
        <v>105</v>
      </c>
      <c r="F165" s="11" t="s">
        <v>44</v>
      </c>
      <c r="G165" s="11" t="str">
        <f>_xlfn.XLOOKUP(Table2[[#This Row],[operator_id]],Operators[operator_id],Operators[operator_name])</f>
        <v>K. Fraser</v>
      </c>
      <c r="H165" s="11" t="s">
        <v>27</v>
      </c>
      <c r="I165" s="14">
        <v>1019.2</v>
      </c>
      <c r="J165" s="14">
        <v>4327.8</v>
      </c>
      <c r="K165" s="14">
        <v>614.9</v>
      </c>
      <c r="L165" s="14">
        <v>545.9</v>
      </c>
      <c r="M165" s="51">
        <v>-69</v>
      </c>
      <c r="N165" s="57">
        <v>-0.11219999999999999</v>
      </c>
      <c r="O165" s="17">
        <v>8.1999999999999993</v>
      </c>
      <c r="P165" s="18">
        <v>7.34</v>
      </c>
      <c r="Q165" s="17">
        <v>69.400000000000006</v>
      </c>
      <c r="R165" s="19">
        <v>71.3</v>
      </c>
      <c r="S165" s="17">
        <v>1</v>
      </c>
      <c r="T165" s="13" t="s">
        <v>100</v>
      </c>
      <c r="U165" s="4">
        <f t="shared" si="2"/>
        <v>0</v>
      </c>
      <c r="V165" s="20" t="s">
        <v>38</v>
      </c>
      <c r="X165" s="11" t="s">
        <v>384</v>
      </c>
      <c r="Y165" s="13" t="s">
        <v>66</v>
      </c>
    </row>
    <row r="166" spans="1:25" x14ac:dyDescent="0.35">
      <c r="A166" s="2" t="s">
        <v>385</v>
      </c>
      <c r="B166" s="49">
        <v>45217</v>
      </c>
      <c r="C166" s="2" t="s">
        <v>42</v>
      </c>
      <c r="D166" s="4" t="s">
        <v>75</v>
      </c>
      <c r="E166" s="4" t="s">
        <v>89</v>
      </c>
      <c r="F166" s="2" t="s">
        <v>33</v>
      </c>
      <c r="G166" s="2" t="str">
        <f>_xlfn.XLOOKUP(Table2[[#This Row],[operator_id]],Operators[operator_id],Operators[operator_name])</f>
        <v>S. Patel</v>
      </c>
      <c r="H166" s="2" t="s">
        <v>34</v>
      </c>
      <c r="I166" s="5">
        <v>563.70000000000005</v>
      </c>
      <c r="J166" s="5">
        <v>2243.8000000000002</v>
      </c>
      <c r="K166" s="5">
        <v>350.7</v>
      </c>
      <c r="L166" s="5">
        <v>325.3</v>
      </c>
      <c r="M166" s="51">
        <v>-25.4</v>
      </c>
      <c r="N166" s="57">
        <v>-7.2400000000000006E-2</v>
      </c>
      <c r="O166" s="8">
        <v>5</v>
      </c>
      <c r="P166" s="9">
        <v>6.05</v>
      </c>
      <c r="Q166" s="8">
        <v>66.3</v>
      </c>
      <c r="R166" s="8">
        <v>65.900000000000006</v>
      </c>
      <c r="S166" s="8">
        <v>0</v>
      </c>
      <c r="T166" s="4"/>
      <c r="U166" s="4">
        <f t="shared" si="2"/>
        <v>0</v>
      </c>
      <c r="V166" s="20" t="s">
        <v>38</v>
      </c>
      <c r="X166" s="2" t="s">
        <v>386</v>
      </c>
      <c r="Y166" s="4"/>
    </row>
    <row r="167" spans="1:25" x14ac:dyDescent="0.35">
      <c r="A167" s="11" t="s">
        <v>387</v>
      </c>
      <c r="B167" s="50">
        <v>45221</v>
      </c>
      <c r="C167" s="11" t="s">
        <v>31</v>
      </c>
      <c r="D167" s="13" t="s">
        <v>37</v>
      </c>
      <c r="E167" s="13" t="s">
        <v>43</v>
      </c>
      <c r="F167" s="11" t="s">
        <v>33</v>
      </c>
      <c r="G167" s="11" t="str">
        <f>_xlfn.XLOOKUP(Table2[[#This Row],[operator_id]],Operators[operator_id],Operators[operator_name])</f>
        <v>S. Patel</v>
      </c>
      <c r="H167" s="11" t="s">
        <v>34</v>
      </c>
      <c r="I167" s="14">
        <v>542</v>
      </c>
      <c r="J167" s="14">
        <v>2172.4</v>
      </c>
      <c r="K167" s="14">
        <v>375.6</v>
      </c>
      <c r="L167" s="14">
        <v>375.8</v>
      </c>
      <c r="M167" s="18">
        <v>0.2</v>
      </c>
      <c r="N167" s="55">
        <v>5.0000000000000001E-4</v>
      </c>
      <c r="O167" s="17">
        <v>17.899999999999999</v>
      </c>
      <c r="P167" s="18">
        <v>24.61</v>
      </c>
      <c r="Q167" s="17">
        <v>63</v>
      </c>
      <c r="R167" s="19">
        <v>60.5</v>
      </c>
      <c r="S167" s="17">
        <v>0</v>
      </c>
      <c r="T167" s="13"/>
      <c r="U167" s="4">
        <f t="shared" si="2"/>
        <v>1</v>
      </c>
      <c r="V167" s="10" t="s">
        <v>28</v>
      </c>
      <c r="X167" s="11" t="s">
        <v>388</v>
      </c>
      <c r="Y167" s="13" t="s">
        <v>61</v>
      </c>
    </row>
    <row r="168" spans="1:25" x14ac:dyDescent="0.35">
      <c r="A168" s="2" t="s">
        <v>389</v>
      </c>
      <c r="B168" s="49">
        <v>45222</v>
      </c>
      <c r="C168" s="2" t="s">
        <v>42</v>
      </c>
      <c r="D168" s="4" t="s">
        <v>54</v>
      </c>
      <c r="E168" s="4" t="s">
        <v>43</v>
      </c>
      <c r="F168" s="2" t="s">
        <v>59</v>
      </c>
      <c r="G168" s="2" t="str">
        <f>_xlfn.XLOOKUP(Table2[[#This Row],[operator_id]],Operators[operator_id],Operators[operator_name])</f>
        <v>R. Osei</v>
      </c>
      <c r="H168" s="2" t="s">
        <v>27</v>
      </c>
      <c r="I168" s="5">
        <v>527.4</v>
      </c>
      <c r="J168" s="5">
        <v>2256.5</v>
      </c>
      <c r="K168" s="5">
        <v>352.5</v>
      </c>
      <c r="L168" s="5">
        <v>348.9</v>
      </c>
      <c r="M168" s="52">
        <v>-3.6</v>
      </c>
      <c r="N168" s="56">
        <v>-1.0200000000000001E-2</v>
      </c>
      <c r="O168" s="8">
        <v>4.8</v>
      </c>
      <c r="P168" s="9">
        <v>6.6</v>
      </c>
      <c r="Q168" s="8">
        <v>63.5</v>
      </c>
      <c r="R168" s="19">
        <v>61.7</v>
      </c>
      <c r="S168" s="8">
        <v>0</v>
      </c>
      <c r="T168" s="4"/>
      <c r="U168" s="4">
        <f t="shared" si="2"/>
        <v>0</v>
      </c>
      <c r="V168" s="20" t="s">
        <v>38</v>
      </c>
      <c r="X168" s="2" t="s">
        <v>390</v>
      </c>
      <c r="Y168" s="4"/>
    </row>
    <row r="169" spans="1:25" x14ac:dyDescent="0.35">
      <c r="A169" s="11" t="s">
        <v>391</v>
      </c>
      <c r="B169" s="50">
        <v>45223</v>
      </c>
      <c r="C169" s="11" t="s">
        <v>42</v>
      </c>
      <c r="D169" s="13" t="s">
        <v>37</v>
      </c>
      <c r="E169" s="13" t="s">
        <v>48</v>
      </c>
      <c r="F169" s="11" t="s">
        <v>44</v>
      </c>
      <c r="G169" s="11" t="str">
        <f>_xlfn.XLOOKUP(Table2[[#This Row],[operator_id]],Operators[operator_id],Operators[operator_name])</f>
        <v>K. Fraser</v>
      </c>
      <c r="H169" s="11" t="s">
        <v>34</v>
      </c>
      <c r="I169" s="14">
        <v>659.1</v>
      </c>
      <c r="J169" s="14">
        <v>3216.1</v>
      </c>
      <c r="K169" s="14">
        <v>365.3</v>
      </c>
      <c r="L169" s="14">
        <v>390.7</v>
      </c>
      <c r="M169" s="18">
        <v>25.4</v>
      </c>
      <c r="N169" s="55">
        <v>6.9500000000000006E-2</v>
      </c>
      <c r="O169" s="17">
        <v>14.5</v>
      </c>
      <c r="P169" s="18">
        <v>17.739999999999998</v>
      </c>
      <c r="Q169" s="17">
        <v>69</v>
      </c>
      <c r="R169" s="17">
        <v>67.5</v>
      </c>
      <c r="S169" s="17">
        <v>0</v>
      </c>
      <c r="T169" s="13"/>
      <c r="U169" s="4">
        <f t="shared" si="2"/>
        <v>1</v>
      </c>
      <c r="V169" s="10" t="s">
        <v>28</v>
      </c>
      <c r="X169" s="11" t="s">
        <v>392</v>
      </c>
      <c r="Y169" s="13"/>
    </row>
    <row r="170" spans="1:25" x14ac:dyDescent="0.35">
      <c r="A170" s="2" t="s">
        <v>393</v>
      </c>
      <c r="B170" s="49">
        <v>45223</v>
      </c>
      <c r="C170" s="2" t="s">
        <v>42</v>
      </c>
      <c r="D170" s="4" t="s">
        <v>92</v>
      </c>
      <c r="E170" s="4" t="s">
        <v>105</v>
      </c>
      <c r="F170" s="2" t="s">
        <v>44</v>
      </c>
      <c r="G170" s="2" t="str">
        <f>_xlfn.XLOOKUP(Table2[[#This Row],[operator_id]],Operators[operator_id],Operators[operator_name])</f>
        <v>K. Fraser</v>
      </c>
      <c r="H170" s="2" t="s">
        <v>27</v>
      </c>
      <c r="I170" s="5">
        <v>798.9</v>
      </c>
      <c r="J170" s="5">
        <v>3041.6</v>
      </c>
      <c r="K170" s="5">
        <v>461.6</v>
      </c>
      <c r="L170" s="5">
        <v>460</v>
      </c>
      <c r="M170" s="52">
        <v>-1.6</v>
      </c>
      <c r="N170" s="56">
        <v>-3.5000000000000001E-3</v>
      </c>
      <c r="O170" s="8">
        <v>10.6</v>
      </c>
      <c r="P170" s="9">
        <v>9.18</v>
      </c>
      <c r="Q170" s="8">
        <v>70</v>
      </c>
      <c r="R170" s="8">
        <v>70.5</v>
      </c>
      <c r="S170" s="8">
        <v>5</v>
      </c>
      <c r="T170" s="4"/>
      <c r="U170" s="4">
        <f t="shared" si="2"/>
        <v>1</v>
      </c>
      <c r="V170" s="10" t="s">
        <v>28</v>
      </c>
      <c r="X170" s="2" t="s">
        <v>394</v>
      </c>
      <c r="Y170" s="4" t="s">
        <v>40</v>
      </c>
    </row>
    <row r="171" spans="1:25" x14ac:dyDescent="0.35">
      <c r="A171" s="11" t="s">
        <v>395</v>
      </c>
      <c r="B171" s="50">
        <v>45224</v>
      </c>
      <c r="C171" s="11" t="s">
        <v>42</v>
      </c>
      <c r="D171" s="13" t="s">
        <v>75</v>
      </c>
      <c r="E171" s="13" t="s">
        <v>48</v>
      </c>
      <c r="F171" s="11" t="s">
        <v>33</v>
      </c>
      <c r="G171" s="11" t="str">
        <f>_xlfn.XLOOKUP(Table2[[#This Row],[operator_id]],Operators[operator_id],Operators[operator_name])</f>
        <v>S. Patel</v>
      </c>
      <c r="H171" s="11" t="s">
        <v>27</v>
      </c>
      <c r="I171" s="14">
        <v>1167.5</v>
      </c>
      <c r="J171" s="14">
        <v>5762.6</v>
      </c>
      <c r="K171" s="14">
        <v>675.5</v>
      </c>
      <c r="L171" s="14">
        <v>598.1</v>
      </c>
      <c r="M171" s="51">
        <v>-77.400000000000006</v>
      </c>
      <c r="N171" s="57">
        <v>-0.11459999999999999</v>
      </c>
      <c r="O171" s="17">
        <v>8.4</v>
      </c>
      <c r="P171" s="18">
        <v>10.42</v>
      </c>
      <c r="Q171" s="17">
        <v>62.7</v>
      </c>
      <c r="R171" s="19">
        <v>64.5</v>
      </c>
      <c r="S171" s="17">
        <v>2</v>
      </c>
      <c r="T171" s="13"/>
      <c r="U171" s="4">
        <f t="shared" si="2"/>
        <v>0</v>
      </c>
      <c r="V171" s="20" t="s">
        <v>38</v>
      </c>
      <c r="X171" s="11" t="s">
        <v>396</v>
      </c>
      <c r="Y171" s="13" t="s">
        <v>66</v>
      </c>
    </row>
    <row r="172" spans="1:25" x14ac:dyDescent="0.35">
      <c r="A172" s="2" t="s">
        <v>397</v>
      </c>
      <c r="B172" s="49">
        <v>45224</v>
      </c>
      <c r="C172" s="2" t="s">
        <v>31</v>
      </c>
      <c r="D172" s="4" t="s">
        <v>92</v>
      </c>
      <c r="E172" s="4" t="s">
        <v>89</v>
      </c>
      <c r="F172" s="2" t="s">
        <v>44</v>
      </c>
      <c r="G172" s="2" t="str">
        <f>_xlfn.XLOOKUP(Table2[[#This Row],[operator_id]],Operators[operator_id],Operators[operator_name])</f>
        <v>K. Fraser</v>
      </c>
      <c r="H172" s="2" t="s">
        <v>34</v>
      </c>
      <c r="I172" s="5">
        <v>867.6</v>
      </c>
      <c r="J172" s="5">
        <v>3527.1</v>
      </c>
      <c r="K172" s="5">
        <v>599.5</v>
      </c>
      <c r="L172" s="5">
        <v>571.29999999999995</v>
      </c>
      <c r="M172" s="52">
        <v>-28.2</v>
      </c>
      <c r="N172" s="56">
        <v>-4.7E-2</v>
      </c>
      <c r="O172" s="8">
        <v>7.1</v>
      </c>
      <c r="P172" s="9">
        <v>5.83</v>
      </c>
      <c r="Q172" s="8">
        <v>68.8</v>
      </c>
      <c r="R172" s="8">
        <v>69.099999999999994</v>
      </c>
      <c r="S172" s="8">
        <v>0</v>
      </c>
      <c r="T172" s="4"/>
      <c r="U172" s="4">
        <f t="shared" si="2"/>
        <v>1</v>
      </c>
      <c r="V172" s="10" t="s">
        <v>28</v>
      </c>
      <c r="X172" s="2" t="s">
        <v>398</v>
      </c>
      <c r="Y172" s="4"/>
    </row>
    <row r="173" spans="1:25" x14ac:dyDescent="0.35">
      <c r="A173" s="11" t="s">
        <v>399</v>
      </c>
      <c r="B173" s="50">
        <v>45226</v>
      </c>
      <c r="C173" s="11" t="s">
        <v>97</v>
      </c>
      <c r="D173" s="13" t="s">
        <v>54</v>
      </c>
      <c r="E173" s="13" t="s">
        <v>89</v>
      </c>
      <c r="F173" s="11" t="s">
        <v>55</v>
      </c>
      <c r="G173" s="11" t="str">
        <f>_xlfn.XLOOKUP(Table2[[#This Row],[operator_id]],Operators[operator_id],Operators[operator_name])</f>
        <v>T. Dinesh</v>
      </c>
      <c r="H173" s="11" t="s">
        <v>27</v>
      </c>
      <c r="I173" s="14">
        <v>718.3</v>
      </c>
      <c r="J173" s="14">
        <v>3578.5</v>
      </c>
      <c r="K173" s="14">
        <v>405.1</v>
      </c>
      <c r="L173" s="14">
        <v>407.8</v>
      </c>
      <c r="M173" s="18">
        <v>2.7</v>
      </c>
      <c r="N173" s="55">
        <v>6.7000000000000002E-3</v>
      </c>
      <c r="O173" s="17">
        <v>6</v>
      </c>
      <c r="P173" s="18">
        <v>5.62</v>
      </c>
      <c r="Q173" s="17">
        <v>67.5</v>
      </c>
      <c r="R173" s="19">
        <v>69.099999999999994</v>
      </c>
      <c r="S173" s="17">
        <v>0</v>
      </c>
      <c r="T173" s="13"/>
      <c r="U173" s="4">
        <f t="shared" si="2"/>
        <v>0</v>
      </c>
      <c r="V173" s="20" t="s">
        <v>38</v>
      </c>
      <c r="X173" s="11" t="s">
        <v>400</v>
      </c>
      <c r="Y173" s="13"/>
    </row>
    <row r="174" spans="1:25" x14ac:dyDescent="0.35">
      <c r="A174" s="2" t="s">
        <v>401</v>
      </c>
      <c r="B174" s="49">
        <v>45233</v>
      </c>
      <c r="C174" s="2" t="s">
        <v>23</v>
      </c>
      <c r="D174" s="4" t="s">
        <v>75</v>
      </c>
      <c r="E174" s="4" t="s">
        <v>89</v>
      </c>
      <c r="F174" s="2" t="s">
        <v>44</v>
      </c>
      <c r="G174" s="2" t="str">
        <f>_xlfn.XLOOKUP(Table2[[#This Row],[operator_id]],Operators[operator_id],Operators[operator_name])</f>
        <v>K. Fraser</v>
      </c>
      <c r="H174" s="2" t="s">
        <v>27</v>
      </c>
      <c r="I174" s="5">
        <v>812.2</v>
      </c>
      <c r="J174" s="5">
        <v>3356.3</v>
      </c>
      <c r="K174" s="5">
        <v>536.70000000000005</v>
      </c>
      <c r="L174" s="5">
        <v>528.9</v>
      </c>
      <c r="M174" s="52">
        <v>-7.8</v>
      </c>
      <c r="N174" s="56">
        <v>-1.4500000000000001E-2</v>
      </c>
      <c r="O174" s="8">
        <v>16</v>
      </c>
      <c r="P174" s="9">
        <v>16.8</v>
      </c>
      <c r="Q174" s="8">
        <v>62.1</v>
      </c>
      <c r="R174" s="19">
        <v>59.8</v>
      </c>
      <c r="S174" s="8">
        <v>0.5</v>
      </c>
      <c r="T174" s="4" t="s">
        <v>45</v>
      </c>
      <c r="U174" s="4">
        <f t="shared" si="2"/>
        <v>1</v>
      </c>
      <c r="V174" s="10" t="s">
        <v>28</v>
      </c>
      <c r="X174" s="2" t="s">
        <v>402</v>
      </c>
      <c r="Y174" s="4" t="s">
        <v>61</v>
      </c>
    </row>
    <row r="175" spans="1:25" x14ac:dyDescent="0.35">
      <c r="A175" s="11" t="s">
        <v>403</v>
      </c>
      <c r="B175" s="50">
        <v>45238</v>
      </c>
      <c r="C175" s="11" t="s">
        <v>23</v>
      </c>
      <c r="D175" s="13" t="s">
        <v>24</v>
      </c>
      <c r="E175" s="13" t="s">
        <v>48</v>
      </c>
      <c r="F175" s="11" t="s">
        <v>55</v>
      </c>
      <c r="G175" s="11" t="str">
        <f>_xlfn.XLOOKUP(Table2[[#This Row],[operator_id]],Operators[operator_id],Operators[operator_name])</f>
        <v>T. Dinesh</v>
      </c>
      <c r="H175" s="11" t="s">
        <v>27</v>
      </c>
      <c r="I175" s="14">
        <v>949.2</v>
      </c>
      <c r="J175" s="14">
        <v>4403.5</v>
      </c>
      <c r="K175" s="14">
        <v>659</v>
      </c>
      <c r="L175" s="14">
        <v>695.2</v>
      </c>
      <c r="M175" s="18">
        <v>36.200000000000003</v>
      </c>
      <c r="N175" s="55">
        <v>5.4899999999999997E-2</v>
      </c>
      <c r="O175" s="17">
        <v>5.9</v>
      </c>
      <c r="P175" s="18">
        <v>6.75</v>
      </c>
      <c r="Q175" s="17">
        <v>67</v>
      </c>
      <c r="R175" s="19">
        <v>65.2</v>
      </c>
      <c r="S175" s="17">
        <v>0</v>
      </c>
      <c r="T175" s="13"/>
      <c r="U175" s="4">
        <f t="shared" si="2"/>
        <v>0</v>
      </c>
      <c r="V175" s="20" t="s">
        <v>38</v>
      </c>
      <c r="X175" s="11" t="s">
        <v>404</v>
      </c>
      <c r="Y175" s="13"/>
    </row>
    <row r="176" spans="1:25" x14ac:dyDescent="0.35">
      <c r="A176" s="2" t="s">
        <v>405</v>
      </c>
      <c r="B176" s="49">
        <v>45241</v>
      </c>
      <c r="C176" s="2" t="s">
        <v>51</v>
      </c>
      <c r="D176" s="4" t="s">
        <v>75</v>
      </c>
      <c r="E176" s="4" t="s">
        <v>43</v>
      </c>
      <c r="F176" s="2" t="s">
        <v>26</v>
      </c>
      <c r="G176" s="2" t="str">
        <f>_xlfn.XLOOKUP(Table2[[#This Row],[operator_id]],Operators[operator_id],Operators[operator_name])</f>
        <v>M. Chen</v>
      </c>
      <c r="H176" s="2" t="s">
        <v>27</v>
      </c>
      <c r="I176" s="5">
        <v>1133.8</v>
      </c>
      <c r="J176" s="5">
        <v>4425.8999999999996</v>
      </c>
      <c r="K176" s="5">
        <v>784.7</v>
      </c>
      <c r="L176" s="5">
        <v>791.4</v>
      </c>
      <c r="M176" s="9">
        <v>6.7</v>
      </c>
      <c r="N176" s="54">
        <v>8.5000000000000006E-3</v>
      </c>
      <c r="O176" s="8">
        <v>13.3</v>
      </c>
      <c r="P176" s="9">
        <v>18.350000000000001</v>
      </c>
      <c r="Q176" s="8">
        <v>65.8</v>
      </c>
      <c r="R176" s="19">
        <v>67.599999999999994</v>
      </c>
      <c r="S176" s="8">
        <v>0</v>
      </c>
      <c r="T176" s="4"/>
      <c r="U176" s="4">
        <f t="shared" si="2"/>
        <v>0</v>
      </c>
      <c r="V176" s="20" t="s">
        <v>38</v>
      </c>
      <c r="X176" s="2" t="s">
        <v>406</v>
      </c>
      <c r="Y176" s="4"/>
    </row>
    <row r="177" spans="1:25" x14ac:dyDescent="0.35">
      <c r="A177" s="11" t="s">
        <v>407</v>
      </c>
      <c r="B177" s="50">
        <v>45244</v>
      </c>
      <c r="C177" s="11" t="s">
        <v>23</v>
      </c>
      <c r="D177" s="13" t="s">
        <v>54</v>
      </c>
      <c r="E177" s="13" t="s">
        <v>48</v>
      </c>
      <c r="F177" s="11" t="s">
        <v>26</v>
      </c>
      <c r="G177" s="11" t="str">
        <f>_xlfn.XLOOKUP(Table2[[#This Row],[operator_id]],Operators[operator_id],Operators[operator_name])</f>
        <v>M. Chen</v>
      </c>
      <c r="H177" s="11" t="s">
        <v>27</v>
      </c>
      <c r="I177" s="14">
        <v>570.1</v>
      </c>
      <c r="J177" s="14">
        <v>2753.8</v>
      </c>
      <c r="K177" s="14">
        <v>364.1</v>
      </c>
      <c r="L177" s="14">
        <v>361.6</v>
      </c>
      <c r="M177" s="52">
        <v>-2.5</v>
      </c>
      <c r="N177" s="56">
        <v>-6.8999999999999999E-3</v>
      </c>
      <c r="O177" s="17">
        <v>14.9</v>
      </c>
      <c r="P177" s="18">
        <v>13.01</v>
      </c>
      <c r="Q177" s="17">
        <v>60.2</v>
      </c>
      <c r="R177" s="17">
        <v>60.2</v>
      </c>
      <c r="S177" s="17">
        <v>5</v>
      </c>
      <c r="T177" s="13"/>
      <c r="U177" s="4">
        <f t="shared" si="2"/>
        <v>0</v>
      </c>
      <c r="V177" s="20" t="s">
        <v>38</v>
      </c>
      <c r="X177" s="11" t="s">
        <v>408</v>
      </c>
      <c r="Y177" s="13" t="s">
        <v>40</v>
      </c>
    </row>
    <row r="178" spans="1:25" x14ac:dyDescent="0.35">
      <c r="A178" s="2" t="s">
        <v>409</v>
      </c>
      <c r="B178" s="49">
        <v>45244</v>
      </c>
      <c r="C178" s="2" t="s">
        <v>31</v>
      </c>
      <c r="D178" s="4" t="s">
        <v>37</v>
      </c>
      <c r="E178" s="4" t="s">
        <v>48</v>
      </c>
      <c r="F178" s="2" t="s">
        <v>26</v>
      </c>
      <c r="G178" s="2" t="str">
        <f>_xlfn.XLOOKUP(Table2[[#This Row],[operator_id]],Operators[operator_id],Operators[operator_name])</f>
        <v>M. Chen</v>
      </c>
      <c r="H178" s="2" t="s">
        <v>34</v>
      </c>
      <c r="I178" s="5">
        <v>503.9</v>
      </c>
      <c r="J178" s="5">
        <v>2540.1999999999998</v>
      </c>
      <c r="K178" s="5">
        <v>360.6</v>
      </c>
      <c r="L178" s="5">
        <v>370.2</v>
      </c>
      <c r="M178" s="9">
        <v>9.6</v>
      </c>
      <c r="N178" s="54">
        <v>2.6599999999999999E-2</v>
      </c>
      <c r="O178" s="8">
        <v>14.5</v>
      </c>
      <c r="P178" s="9">
        <v>18.13</v>
      </c>
      <c r="Q178" s="8">
        <v>67.900000000000006</v>
      </c>
      <c r="R178" s="8">
        <v>68.400000000000006</v>
      </c>
      <c r="S178" s="8">
        <v>0</v>
      </c>
      <c r="T178" s="4"/>
      <c r="U178" s="4">
        <f t="shared" si="2"/>
        <v>1</v>
      </c>
      <c r="V178" s="10" t="s">
        <v>28</v>
      </c>
      <c r="X178" s="2" t="s">
        <v>410</v>
      </c>
      <c r="Y178" s="4"/>
    </row>
    <row r="179" spans="1:25" x14ac:dyDescent="0.35">
      <c r="A179" s="11" t="s">
        <v>411</v>
      </c>
      <c r="B179" s="50">
        <v>45246</v>
      </c>
      <c r="C179" s="11" t="s">
        <v>42</v>
      </c>
      <c r="D179" s="13" t="s">
        <v>54</v>
      </c>
      <c r="E179" s="13" t="s">
        <v>25</v>
      </c>
      <c r="F179" s="11" t="s">
        <v>33</v>
      </c>
      <c r="G179" s="11" t="str">
        <f>_xlfn.XLOOKUP(Table2[[#This Row],[operator_id]],Operators[operator_id],Operators[operator_name])</f>
        <v>S. Patel</v>
      </c>
      <c r="H179" s="11" t="s">
        <v>34</v>
      </c>
      <c r="I179" s="14">
        <v>679.7</v>
      </c>
      <c r="J179" s="14">
        <v>3440.4</v>
      </c>
      <c r="K179" s="14">
        <v>386.1</v>
      </c>
      <c r="L179" s="14">
        <v>397.4</v>
      </c>
      <c r="M179" s="18">
        <v>11.3</v>
      </c>
      <c r="N179" s="55">
        <v>2.93E-2</v>
      </c>
      <c r="O179" s="17">
        <v>13.8</v>
      </c>
      <c r="P179" s="18">
        <v>14.75</v>
      </c>
      <c r="Q179" s="17">
        <v>61.7</v>
      </c>
      <c r="R179" s="17">
        <v>63</v>
      </c>
      <c r="S179" s="17">
        <v>5</v>
      </c>
      <c r="T179" s="13" t="s">
        <v>239</v>
      </c>
      <c r="U179" s="4">
        <f t="shared" si="2"/>
        <v>1</v>
      </c>
      <c r="V179" s="10" t="s">
        <v>28</v>
      </c>
      <c r="X179" s="11" t="s">
        <v>412</v>
      </c>
      <c r="Y179" s="13" t="s">
        <v>40</v>
      </c>
    </row>
    <row r="180" spans="1:25" x14ac:dyDescent="0.35">
      <c r="A180" s="2" t="s">
        <v>413</v>
      </c>
      <c r="B180" s="49">
        <v>45250</v>
      </c>
      <c r="C180" s="2" t="s">
        <v>51</v>
      </c>
      <c r="D180" s="4" t="s">
        <v>75</v>
      </c>
      <c r="E180" s="4" t="s">
        <v>48</v>
      </c>
      <c r="F180" s="2" t="s">
        <v>59</v>
      </c>
      <c r="G180" s="2" t="str">
        <f>_xlfn.XLOOKUP(Table2[[#This Row],[operator_id]],Operators[operator_id],Operators[operator_name])</f>
        <v>R. Osei</v>
      </c>
      <c r="H180" s="2" t="s">
        <v>34</v>
      </c>
      <c r="I180" s="5">
        <v>1068.8</v>
      </c>
      <c r="J180" s="5">
        <v>5141.2</v>
      </c>
      <c r="K180" s="5">
        <v>607.20000000000005</v>
      </c>
      <c r="L180" s="5">
        <v>625.70000000000005</v>
      </c>
      <c r="M180" s="9">
        <v>18.5</v>
      </c>
      <c r="N180" s="54">
        <v>3.0499999999999999E-2</v>
      </c>
      <c r="O180" s="8">
        <v>11.5</v>
      </c>
      <c r="P180" s="9">
        <v>16.079999999999998</v>
      </c>
      <c r="Q180" s="8">
        <v>62.5</v>
      </c>
      <c r="R180" s="8">
        <v>62.4</v>
      </c>
      <c r="S180" s="8">
        <v>0</v>
      </c>
      <c r="T180" s="4"/>
      <c r="U180" s="4">
        <f t="shared" si="2"/>
        <v>1</v>
      </c>
      <c r="V180" s="10" t="s">
        <v>28</v>
      </c>
      <c r="X180" s="2" t="s">
        <v>414</v>
      </c>
      <c r="Y180" s="4"/>
    </row>
    <row r="181" spans="1:25" x14ac:dyDescent="0.35">
      <c r="A181" s="11" t="s">
        <v>415</v>
      </c>
      <c r="B181" s="50">
        <v>45251</v>
      </c>
      <c r="C181" s="11" t="s">
        <v>23</v>
      </c>
      <c r="D181" s="13" t="s">
        <v>37</v>
      </c>
      <c r="E181" s="13" t="s">
        <v>43</v>
      </c>
      <c r="F181" s="11" t="s">
        <v>33</v>
      </c>
      <c r="G181" s="11" t="str">
        <f>_xlfn.XLOOKUP(Table2[[#This Row],[operator_id]],Operators[operator_id],Operators[operator_name])</f>
        <v>S. Patel</v>
      </c>
      <c r="H181" s="11" t="s">
        <v>27</v>
      </c>
      <c r="I181" s="14">
        <v>1033.5</v>
      </c>
      <c r="J181" s="14">
        <v>3941.8</v>
      </c>
      <c r="K181" s="14">
        <v>660.1</v>
      </c>
      <c r="L181" s="14">
        <v>629.20000000000005</v>
      </c>
      <c r="M181" s="52">
        <v>-30.9</v>
      </c>
      <c r="N181" s="56">
        <v>-4.6800000000000001E-2</v>
      </c>
      <c r="O181" s="17">
        <v>12.9</v>
      </c>
      <c r="P181" s="18">
        <v>15.89</v>
      </c>
      <c r="Q181" s="17">
        <v>63.3</v>
      </c>
      <c r="R181" s="17">
        <v>63.2</v>
      </c>
      <c r="S181" s="17">
        <v>0</v>
      </c>
      <c r="T181" s="13"/>
      <c r="U181" s="4">
        <f t="shared" si="2"/>
        <v>1</v>
      </c>
      <c r="V181" s="10" t="s">
        <v>28</v>
      </c>
      <c r="X181" s="11" t="s">
        <v>416</v>
      </c>
      <c r="Y181" s="13"/>
    </row>
    <row r="182" spans="1:25" x14ac:dyDescent="0.35">
      <c r="A182" s="2" t="s">
        <v>417</v>
      </c>
      <c r="B182" s="49">
        <v>45252</v>
      </c>
      <c r="C182" s="2" t="s">
        <v>31</v>
      </c>
      <c r="D182" s="4" t="s">
        <v>92</v>
      </c>
      <c r="E182" s="4" t="s">
        <v>89</v>
      </c>
      <c r="F182" s="2" t="s">
        <v>44</v>
      </c>
      <c r="G182" s="2" t="str">
        <f>_xlfn.XLOOKUP(Table2[[#This Row],[operator_id]],Operators[operator_id],Operators[operator_name])</f>
        <v>K. Fraser</v>
      </c>
      <c r="H182" s="2" t="s">
        <v>34</v>
      </c>
      <c r="I182" s="5">
        <v>631.1</v>
      </c>
      <c r="J182" s="5">
        <v>2549.3000000000002</v>
      </c>
      <c r="K182" s="5">
        <v>404.2</v>
      </c>
      <c r="L182" s="5">
        <v>409.1</v>
      </c>
      <c r="M182" s="9">
        <v>4.9000000000000004</v>
      </c>
      <c r="N182" s="54">
        <v>1.21E-2</v>
      </c>
      <c r="O182" s="8">
        <v>8.6999999999999993</v>
      </c>
      <c r="P182" s="9">
        <v>6.97</v>
      </c>
      <c r="Q182" s="8">
        <v>68.5</v>
      </c>
      <c r="R182" s="19">
        <v>70.400000000000006</v>
      </c>
      <c r="S182" s="8">
        <v>0</v>
      </c>
      <c r="T182" s="4"/>
      <c r="U182" s="4">
        <f t="shared" si="2"/>
        <v>1</v>
      </c>
      <c r="V182" s="10" t="s">
        <v>28</v>
      </c>
      <c r="X182" s="2" t="s">
        <v>418</v>
      </c>
      <c r="Y182" s="4"/>
    </row>
    <row r="183" spans="1:25" x14ac:dyDescent="0.35">
      <c r="A183" s="11" t="s">
        <v>419</v>
      </c>
      <c r="B183" s="50">
        <v>45254</v>
      </c>
      <c r="C183" s="11" t="s">
        <v>97</v>
      </c>
      <c r="D183" s="13" t="s">
        <v>92</v>
      </c>
      <c r="E183" s="13" t="s">
        <v>48</v>
      </c>
      <c r="F183" s="11" t="s">
        <v>26</v>
      </c>
      <c r="G183" s="11" t="str">
        <f>_xlfn.XLOOKUP(Table2[[#This Row],[operator_id]],Operators[operator_id],Operators[operator_name])</f>
        <v>M. Chen</v>
      </c>
      <c r="H183" s="11" t="s">
        <v>34</v>
      </c>
      <c r="I183" s="14">
        <v>1060.0999999999999</v>
      </c>
      <c r="J183" s="14">
        <v>3978.2</v>
      </c>
      <c r="K183" s="14">
        <v>752.7</v>
      </c>
      <c r="L183" s="14">
        <v>739.7</v>
      </c>
      <c r="M183" s="52">
        <v>-13</v>
      </c>
      <c r="N183" s="56">
        <v>-1.7299999999999999E-2</v>
      </c>
      <c r="O183" s="17">
        <v>14.3</v>
      </c>
      <c r="P183" s="18">
        <v>17.600000000000001</v>
      </c>
      <c r="Q183" s="17">
        <v>67.8</v>
      </c>
      <c r="R183" s="19">
        <v>66.099999999999994</v>
      </c>
      <c r="S183" s="17">
        <v>0</v>
      </c>
      <c r="T183" s="13"/>
      <c r="U183" s="4">
        <f t="shared" si="2"/>
        <v>1</v>
      </c>
      <c r="V183" s="10" t="s">
        <v>28</v>
      </c>
      <c r="X183" s="11" t="s">
        <v>420</v>
      </c>
      <c r="Y183" s="13"/>
    </row>
    <row r="184" spans="1:25" x14ac:dyDescent="0.35">
      <c r="A184" s="2" t="s">
        <v>421</v>
      </c>
      <c r="B184" s="49">
        <v>45258</v>
      </c>
      <c r="C184" s="2" t="s">
        <v>42</v>
      </c>
      <c r="D184" s="4" t="s">
        <v>92</v>
      </c>
      <c r="E184" s="4" t="s">
        <v>25</v>
      </c>
      <c r="F184" s="2" t="s">
        <v>26</v>
      </c>
      <c r="G184" s="2" t="str">
        <f>_xlfn.XLOOKUP(Table2[[#This Row],[operator_id]],Operators[operator_id],Operators[operator_name])</f>
        <v>M. Chen</v>
      </c>
      <c r="H184" s="2" t="s">
        <v>34</v>
      </c>
      <c r="I184" s="5">
        <v>495.1</v>
      </c>
      <c r="J184" s="5">
        <v>2292.6</v>
      </c>
      <c r="K184" s="5">
        <v>295.10000000000002</v>
      </c>
      <c r="L184" s="5">
        <v>300.39999999999998</v>
      </c>
      <c r="M184" s="9">
        <v>5.3</v>
      </c>
      <c r="N184" s="54">
        <v>1.7999999999999999E-2</v>
      </c>
      <c r="O184" s="8">
        <v>8.6</v>
      </c>
      <c r="P184" s="9">
        <v>8.19</v>
      </c>
      <c r="Q184" s="8">
        <v>63.5</v>
      </c>
      <c r="R184" s="19">
        <v>61.1</v>
      </c>
      <c r="S184" s="8">
        <v>3</v>
      </c>
      <c r="T184" s="4" t="s">
        <v>70</v>
      </c>
      <c r="U184" s="4">
        <f t="shared" si="2"/>
        <v>1</v>
      </c>
      <c r="V184" s="10" t="s">
        <v>28</v>
      </c>
      <c r="X184" s="2" t="s">
        <v>422</v>
      </c>
      <c r="Y184" s="4" t="s">
        <v>61</v>
      </c>
    </row>
    <row r="185" spans="1:25" x14ac:dyDescent="0.35">
      <c r="A185" s="11" t="s">
        <v>423</v>
      </c>
      <c r="B185" s="50">
        <v>45263</v>
      </c>
      <c r="C185" s="11" t="s">
        <v>23</v>
      </c>
      <c r="D185" s="13" t="s">
        <v>75</v>
      </c>
      <c r="E185" s="13" t="s">
        <v>25</v>
      </c>
      <c r="F185" s="11" t="s">
        <v>26</v>
      </c>
      <c r="G185" s="11" t="str">
        <f>_xlfn.XLOOKUP(Table2[[#This Row],[operator_id]],Operators[operator_id],Operators[operator_name])</f>
        <v>M. Chen</v>
      </c>
      <c r="H185" s="11" t="s">
        <v>27</v>
      </c>
      <c r="I185" s="14">
        <v>970</v>
      </c>
      <c r="J185" s="14">
        <v>4064</v>
      </c>
      <c r="K185" s="14">
        <v>582.29999999999995</v>
      </c>
      <c r="L185" s="14">
        <v>592.9</v>
      </c>
      <c r="M185" s="18">
        <v>10.6</v>
      </c>
      <c r="N185" s="55">
        <v>1.8200000000000001E-2</v>
      </c>
      <c r="O185" s="17">
        <v>4.4000000000000004</v>
      </c>
      <c r="P185" s="18">
        <v>4.41</v>
      </c>
      <c r="Q185" s="17">
        <v>61.1</v>
      </c>
      <c r="R185" s="17">
        <v>59.6</v>
      </c>
      <c r="S185" s="17">
        <v>0</v>
      </c>
      <c r="T185" s="13"/>
      <c r="U185" s="4">
        <f t="shared" si="2"/>
        <v>1</v>
      </c>
      <c r="V185" s="10" t="s">
        <v>28</v>
      </c>
      <c r="X185" s="11" t="s">
        <v>424</v>
      </c>
      <c r="Y185" s="13"/>
    </row>
    <row r="186" spans="1:25" x14ac:dyDescent="0.35">
      <c r="A186" s="2" t="s">
        <v>425</v>
      </c>
      <c r="B186" s="49">
        <v>45267</v>
      </c>
      <c r="C186" s="2" t="s">
        <v>31</v>
      </c>
      <c r="D186" s="4" t="s">
        <v>37</v>
      </c>
      <c r="E186" s="4" t="s">
        <v>105</v>
      </c>
      <c r="F186" s="2" t="s">
        <v>55</v>
      </c>
      <c r="G186" s="2" t="str">
        <f>_xlfn.XLOOKUP(Table2[[#This Row],[operator_id]],Operators[operator_id],Operators[operator_name])</f>
        <v>T. Dinesh</v>
      </c>
      <c r="H186" s="2" t="s">
        <v>34</v>
      </c>
      <c r="I186" s="5">
        <v>457.6</v>
      </c>
      <c r="J186" s="5">
        <v>1676.2</v>
      </c>
      <c r="K186" s="5">
        <v>267.39999999999998</v>
      </c>
      <c r="L186" s="5">
        <v>273.60000000000002</v>
      </c>
      <c r="M186" s="9">
        <v>6.2</v>
      </c>
      <c r="N186" s="54">
        <v>2.3199999999999998E-2</v>
      </c>
      <c r="O186" s="8">
        <v>17.7</v>
      </c>
      <c r="P186" s="9">
        <v>23.27</v>
      </c>
      <c r="Q186" s="8">
        <v>60.5</v>
      </c>
      <c r="R186" s="19">
        <v>58.7</v>
      </c>
      <c r="S186" s="8">
        <v>0</v>
      </c>
      <c r="T186" s="4"/>
      <c r="U186" s="4">
        <f t="shared" si="2"/>
        <v>0</v>
      </c>
      <c r="V186" s="20" t="s">
        <v>38</v>
      </c>
      <c r="X186" s="2" t="s">
        <v>426</v>
      </c>
      <c r="Y186" s="4"/>
    </row>
    <row r="187" spans="1:25" x14ac:dyDescent="0.35">
      <c r="A187" s="11" t="s">
        <v>427</v>
      </c>
      <c r="B187" s="50">
        <v>45268</v>
      </c>
      <c r="C187" s="11" t="s">
        <v>51</v>
      </c>
      <c r="D187" s="13" t="s">
        <v>75</v>
      </c>
      <c r="E187" s="13" t="s">
        <v>32</v>
      </c>
      <c r="F187" s="11" t="s">
        <v>59</v>
      </c>
      <c r="G187" s="11" t="str">
        <f>_xlfn.XLOOKUP(Table2[[#This Row],[operator_id]],Operators[operator_id],Operators[operator_name])</f>
        <v>R. Osei</v>
      </c>
      <c r="H187" s="11" t="s">
        <v>27</v>
      </c>
      <c r="I187" s="14">
        <v>676.3</v>
      </c>
      <c r="J187" s="14">
        <v>3269.3</v>
      </c>
      <c r="K187" s="14">
        <v>451.8</v>
      </c>
      <c r="L187" s="14">
        <v>469.7</v>
      </c>
      <c r="M187" s="18">
        <v>17.899999999999999</v>
      </c>
      <c r="N187" s="55">
        <v>3.9600000000000003E-2</v>
      </c>
      <c r="O187" s="17">
        <v>13.3</v>
      </c>
      <c r="P187" s="18">
        <v>12.01</v>
      </c>
      <c r="Q187" s="17">
        <v>66.400000000000006</v>
      </c>
      <c r="R187" s="17">
        <v>67.2</v>
      </c>
      <c r="S187" s="17">
        <v>5</v>
      </c>
      <c r="T187" s="13" t="s">
        <v>70</v>
      </c>
      <c r="U187" s="4">
        <f t="shared" si="2"/>
        <v>0</v>
      </c>
      <c r="V187" s="20" t="s">
        <v>38</v>
      </c>
      <c r="X187" s="11" t="s">
        <v>428</v>
      </c>
      <c r="Y187" s="13" t="s">
        <v>40</v>
      </c>
    </row>
    <row r="188" spans="1:25" x14ac:dyDescent="0.35">
      <c r="A188" s="2" t="s">
        <v>429</v>
      </c>
      <c r="B188" s="49">
        <v>45269</v>
      </c>
      <c r="C188" s="2" t="s">
        <v>97</v>
      </c>
      <c r="D188" s="4" t="s">
        <v>24</v>
      </c>
      <c r="E188" s="4" t="s">
        <v>32</v>
      </c>
      <c r="F188" s="2" t="s">
        <v>55</v>
      </c>
      <c r="G188" s="2" t="str">
        <f>_xlfn.XLOOKUP(Table2[[#This Row],[operator_id]],Operators[operator_id],Operators[operator_name])</f>
        <v>T. Dinesh</v>
      </c>
      <c r="H188" s="2" t="s">
        <v>27</v>
      </c>
      <c r="I188" s="5">
        <v>673.9</v>
      </c>
      <c r="J188" s="5">
        <v>2880.5</v>
      </c>
      <c r="K188" s="5">
        <v>425.6</v>
      </c>
      <c r="L188" s="5">
        <v>417.6</v>
      </c>
      <c r="M188" s="52">
        <v>-8</v>
      </c>
      <c r="N188" s="56">
        <v>-1.8800000000000001E-2</v>
      </c>
      <c r="O188" s="8">
        <v>10.5</v>
      </c>
      <c r="P188" s="9">
        <v>13.55</v>
      </c>
      <c r="Q188" s="8">
        <v>64.900000000000006</v>
      </c>
      <c r="R188" s="8">
        <v>63.6</v>
      </c>
      <c r="S188" s="8">
        <v>3</v>
      </c>
      <c r="T188" s="4" t="s">
        <v>70</v>
      </c>
      <c r="U188" s="4">
        <f t="shared" si="2"/>
        <v>0</v>
      </c>
      <c r="V188" s="20" t="s">
        <v>38</v>
      </c>
      <c r="X188" s="2" t="s">
        <v>430</v>
      </c>
      <c r="Y188" s="4" t="s">
        <v>40</v>
      </c>
    </row>
    <row r="189" spans="1:25" x14ac:dyDescent="0.35">
      <c r="A189" s="11" t="s">
        <v>431</v>
      </c>
      <c r="B189" s="50">
        <v>45272</v>
      </c>
      <c r="C189" s="11" t="s">
        <v>42</v>
      </c>
      <c r="D189" s="13" t="s">
        <v>92</v>
      </c>
      <c r="E189" s="13" t="s">
        <v>32</v>
      </c>
      <c r="F189" s="11" t="s">
        <v>59</v>
      </c>
      <c r="G189" s="11" t="str">
        <f>_xlfn.XLOOKUP(Table2[[#This Row],[operator_id]],Operators[operator_id],Operators[operator_name])</f>
        <v>R. Osei</v>
      </c>
      <c r="H189" s="11" t="s">
        <v>27</v>
      </c>
      <c r="I189" s="14">
        <v>448.5</v>
      </c>
      <c r="J189" s="14">
        <v>2377.1999999999998</v>
      </c>
      <c r="K189" s="14">
        <v>268.39999999999998</v>
      </c>
      <c r="L189" s="14">
        <v>274.3</v>
      </c>
      <c r="M189" s="18">
        <v>5.9</v>
      </c>
      <c r="N189" s="55">
        <v>2.1999999999999999E-2</v>
      </c>
      <c r="O189" s="17">
        <v>5.3</v>
      </c>
      <c r="P189" s="18">
        <v>5.73</v>
      </c>
      <c r="Q189" s="17">
        <v>65.8</v>
      </c>
      <c r="R189" s="17">
        <v>66</v>
      </c>
      <c r="S189" s="17">
        <v>0</v>
      </c>
      <c r="T189" s="13"/>
      <c r="U189" s="4">
        <f t="shared" si="2"/>
        <v>1</v>
      </c>
      <c r="V189" s="10" t="s">
        <v>28</v>
      </c>
      <c r="X189" s="11" t="s">
        <v>432</v>
      </c>
      <c r="Y189" s="13"/>
    </row>
    <row r="190" spans="1:25" x14ac:dyDescent="0.35">
      <c r="A190" s="2" t="s">
        <v>433</v>
      </c>
      <c r="B190" s="49">
        <v>45278</v>
      </c>
      <c r="C190" s="2" t="s">
        <v>23</v>
      </c>
      <c r="D190" s="4" t="s">
        <v>24</v>
      </c>
      <c r="E190" s="4" t="s">
        <v>43</v>
      </c>
      <c r="F190" s="2" t="s">
        <v>44</v>
      </c>
      <c r="G190" s="2" t="str">
        <f>_xlfn.XLOOKUP(Table2[[#This Row],[operator_id]],Operators[operator_id],Operators[operator_name])</f>
        <v>K. Fraser</v>
      </c>
      <c r="H190" s="2" t="s">
        <v>27</v>
      </c>
      <c r="I190" s="5">
        <v>425.2</v>
      </c>
      <c r="J190" s="5">
        <v>2312.6</v>
      </c>
      <c r="K190" s="5">
        <v>291.60000000000002</v>
      </c>
      <c r="L190" s="5">
        <v>313</v>
      </c>
      <c r="M190" s="9">
        <v>21.4</v>
      </c>
      <c r="N190" s="54">
        <v>7.3400000000000007E-2</v>
      </c>
      <c r="O190" s="8">
        <v>10.199999999999999</v>
      </c>
      <c r="P190" s="9">
        <v>10.86</v>
      </c>
      <c r="Q190" s="8">
        <v>62.1</v>
      </c>
      <c r="R190" s="19">
        <v>63.8</v>
      </c>
      <c r="S190" s="8">
        <v>0</v>
      </c>
      <c r="T190" s="4"/>
      <c r="U190" s="4">
        <f t="shared" si="2"/>
        <v>0</v>
      </c>
      <c r="V190" s="20" t="s">
        <v>38</v>
      </c>
      <c r="X190" s="2" t="s">
        <v>434</v>
      </c>
      <c r="Y190" s="4"/>
    </row>
    <row r="191" spans="1:25" x14ac:dyDescent="0.35">
      <c r="A191" s="11" t="s">
        <v>435</v>
      </c>
      <c r="B191" s="50">
        <v>45281</v>
      </c>
      <c r="C191" s="11" t="s">
        <v>31</v>
      </c>
      <c r="D191" s="13" t="s">
        <v>92</v>
      </c>
      <c r="E191" s="13" t="s">
        <v>32</v>
      </c>
      <c r="F191" s="11" t="s">
        <v>26</v>
      </c>
      <c r="G191" s="11" t="str">
        <f>_xlfn.XLOOKUP(Table2[[#This Row],[operator_id]],Operators[operator_id],Operators[operator_name])</f>
        <v>M. Chen</v>
      </c>
      <c r="H191" s="11" t="s">
        <v>34</v>
      </c>
      <c r="I191" s="14">
        <v>1014.1</v>
      </c>
      <c r="J191" s="14">
        <v>5383.5</v>
      </c>
      <c r="K191" s="14">
        <v>603.1</v>
      </c>
      <c r="L191" s="14">
        <v>615.4</v>
      </c>
      <c r="M191" s="18">
        <v>12.3</v>
      </c>
      <c r="N191" s="55">
        <v>2.0400000000000001E-2</v>
      </c>
      <c r="O191" s="17">
        <v>7.8</v>
      </c>
      <c r="P191" s="18">
        <v>7.38</v>
      </c>
      <c r="Q191" s="17">
        <v>69.3</v>
      </c>
      <c r="R191" s="17">
        <v>67.900000000000006</v>
      </c>
      <c r="S191" s="17">
        <v>0</v>
      </c>
      <c r="T191" s="13"/>
      <c r="U191" s="4">
        <f t="shared" si="2"/>
        <v>1</v>
      </c>
      <c r="V191" s="10" t="s">
        <v>28</v>
      </c>
      <c r="X191" s="11" t="s">
        <v>436</v>
      </c>
      <c r="Y191" s="13"/>
    </row>
    <row r="192" spans="1:25" x14ac:dyDescent="0.35">
      <c r="A192" s="2" t="s">
        <v>437</v>
      </c>
      <c r="B192" s="49">
        <v>45281</v>
      </c>
      <c r="C192" s="2" t="s">
        <v>42</v>
      </c>
      <c r="D192" s="4" t="s">
        <v>24</v>
      </c>
      <c r="E192" s="4" t="s">
        <v>105</v>
      </c>
      <c r="F192" s="2" t="s">
        <v>33</v>
      </c>
      <c r="G192" s="2" t="str">
        <f>_xlfn.XLOOKUP(Table2[[#This Row],[operator_id]],Operators[operator_id],Operators[operator_name])</f>
        <v>S. Patel</v>
      </c>
      <c r="H192" s="2" t="s">
        <v>27</v>
      </c>
      <c r="I192" s="5">
        <v>948.4</v>
      </c>
      <c r="J192" s="5">
        <v>4082.6</v>
      </c>
      <c r="K192" s="5">
        <v>528.29999999999995</v>
      </c>
      <c r="L192" s="5">
        <v>521</v>
      </c>
      <c r="M192" s="52">
        <v>-7.3</v>
      </c>
      <c r="N192" s="56">
        <v>-1.38E-2</v>
      </c>
      <c r="O192" s="8">
        <v>7.5</v>
      </c>
      <c r="P192" s="9">
        <v>9.9499999999999993</v>
      </c>
      <c r="Q192" s="8">
        <v>68.599999999999994</v>
      </c>
      <c r="R192" s="19">
        <v>70.5</v>
      </c>
      <c r="S192" s="8">
        <v>0</v>
      </c>
      <c r="T192" s="4"/>
      <c r="U192" s="4">
        <f t="shared" si="2"/>
        <v>1</v>
      </c>
      <c r="V192" s="10" t="s">
        <v>28</v>
      </c>
      <c r="X192" s="2" t="s">
        <v>438</v>
      </c>
      <c r="Y192" s="4"/>
    </row>
    <row r="193" spans="1:25" x14ac:dyDescent="0.35">
      <c r="A193" s="11" t="s">
        <v>439</v>
      </c>
      <c r="B193" s="50">
        <v>45282</v>
      </c>
      <c r="C193" s="11" t="s">
        <v>23</v>
      </c>
      <c r="D193" s="13" t="s">
        <v>54</v>
      </c>
      <c r="E193" s="13" t="s">
        <v>89</v>
      </c>
      <c r="F193" s="11" t="s">
        <v>33</v>
      </c>
      <c r="G193" s="11" t="str">
        <f>_xlfn.XLOOKUP(Table2[[#This Row],[operator_id]],Operators[operator_id],Operators[operator_name])</f>
        <v>S. Patel</v>
      </c>
      <c r="H193" s="11" t="s">
        <v>34</v>
      </c>
      <c r="I193" s="14">
        <v>809.8</v>
      </c>
      <c r="J193" s="14">
        <v>4294</v>
      </c>
      <c r="K193" s="14">
        <v>476.8</v>
      </c>
      <c r="L193" s="14">
        <v>490.9</v>
      </c>
      <c r="M193" s="18">
        <v>14.1</v>
      </c>
      <c r="N193" s="55">
        <v>2.9600000000000001E-2</v>
      </c>
      <c r="O193" s="17">
        <v>7</v>
      </c>
      <c r="P193" s="18">
        <v>8.32</v>
      </c>
      <c r="Q193" s="17">
        <v>61.6</v>
      </c>
      <c r="R193" s="17">
        <v>61.9</v>
      </c>
      <c r="S193" s="17">
        <v>0</v>
      </c>
      <c r="T193" s="13"/>
      <c r="U193" s="4">
        <f t="shared" si="2"/>
        <v>1</v>
      </c>
      <c r="V193" s="10" t="s">
        <v>28</v>
      </c>
      <c r="X193" s="11" t="s">
        <v>440</v>
      </c>
      <c r="Y193" s="13"/>
    </row>
    <row r="194" spans="1:25" x14ac:dyDescent="0.35">
      <c r="A194" s="2" t="s">
        <v>441</v>
      </c>
      <c r="B194" s="49">
        <v>45283</v>
      </c>
      <c r="C194" s="2" t="s">
        <v>23</v>
      </c>
      <c r="D194" s="4" t="s">
        <v>37</v>
      </c>
      <c r="E194" s="4" t="s">
        <v>32</v>
      </c>
      <c r="F194" s="2" t="s">
        <v>26</v>
      </c>
      <c r="G194" s="2" t="str">
        <f>_xlfn.XLOOKUP(Table2[[#This Row],[operator_id]],Operators[operator_id],Operators[operator_name])</f>
        <v>M. Chen</v>
      </c>
      <c r="H194" s="2" t="s">
        <v>34</v>
      </c>
      <c r="I194" s="5">
        <v>550</v>
      </c>
      <c r="J194" s="5">
        <v>2839.2</v>
      </c>
      <c r="K194" s="5">
        <v>313.5</v>
      </c>
      <c r="L194" s="5">
        <v>333.5</v>
      </c>
      <c r="M194" s="9">
        <v>20</v>
      </c>
      <c r="N194" s="54">
        <v>6.3799999999999996E-2</v>
      </c>
      <c r="O194" s="8">
        <v>16</v>
      </c>
      <c r="P194" s="9">
        <v>20.66</v>
      </c>
      <c r="Q194" s="8">
        <v>68.2</v>
      </c>
      <c r="R194" s="8">
        <v>69.3</v>
      </c>
      <c r="S194" s="8">
        <v>0</v>
      </c>
      <c r="T194" s="4"/>
      <c r="U194" s="4">
        <f t="shared" si="2"/>
        <v>1</v>
      </c>
      <c r="V194" s="10" t="s">
        <v>28</v>
      </c>
      <c r="X194" s="2" t="s">
        <v>442</v>
      </c>
      <c r="Y194" s="4"/>
    </row>
    <row r="195" spans="1:25" x14ac:dyDescent="0.35">
      <c r="A195" s="11" t="s">
        <v>443</v>
      </c>
      <c r="B195" s="50">
        <v>45284</v>
      </c>
      <c r="C195" s="11" t="s">
        <v>23</v>
      </c>
      <c r="D195" s="13" t="s">
        <v>54</v>
      </c>
      <c r="E195" s="13" t="s">
        <v>32</v>
      </c>
      <c r="F195" s="11" t="s">
        <v>44</v>
      </c>
      <c r="G195" s="11" t="str">
        <f>_xlfn.XLOOKUP(Table2[[#This Row],[operator_id]],Operators[operator_id],Operators[operator_name])</f>
        <v>K. Fraser</v>
      </c>
      <c r="H195" s="11" t="s">
        <v>27</v>
      </c>
      <c r="I195" s="14">
        <v>599.70000000000005</v>
      </c>
      <c r="J195" s="14">
        <v>2675.8</v>
      </c>
      <c r="K195" s="14">
        <v>382.5</v>
      </c>
      <c r="L195" s="14">
        <v>393.2</v>
      </c>
      <c r="M195" s="18">
        <v>10.7</v>
      </c>
      <c r="N195" s="55">
        <v>2.8000000000000001E-2</v>
      </c>
      <c r="O195" s="17">
        <v>13</v>
      </c>
      <c r="P195" s="18">
        <v>14.67</v>
      </c>
      <c r="Q195" s="17">
        <v>60.5</v>
      </c>
      <c r="R195" s="19">
        <v>62.4</v>
      </c>
      <c r="S195" s="17">
        <v>0</v>
      </c>
      <c r="T195" s="13"/>
      <c r="U195" s="4">
        <f t="shared" ref="U195:U201" si="3">IF(V195="Pass",1,0)</f>
        <v>1</v>
      </c>
      <c r="V195" s="10" t="s">
        <v>28</v>
      </c>
      <c r="X195" s="11" t="s">
        <v>444</v>
      </c>
      <c r="Y195" s="13"/>
    </row>
    <row r="196" spans="1:25" x14ac:dyDescent="0.35">
      <c r="A196" s="2" t="s">
        <v>445</v>
      </c>
      <c r="B196" s="49">
        <v>45284</v>
      </c>
      <c r="C196" s="2" t="s">
        <v>23</v>
      </c>
      <c r="D196" s="4" t="s">
        <v>24</v>
      </c>
      <c r="E196" s="4" t="s">
        <v>89</v>
      </c>
      <c r="F196" s="2" t="s">
        <v>26</v>
      </c>
      <c r="G196" s="2" t="str">
        <f>_xlfn.XLOOKUP(Table2[[#This Row],[operator_id]],Operators[operator_id],Operators[operator_name])</f>
        <v>M. Chen</v>
      </c>
      <c r="H196" s="2" t="s">
        <v>27</v>
      </c>
      <c r="I196" s="5">
        <v>1199</v>
      </c>
      <c r="J196" s="5">
        <v>6302.6</v>
      </c>
      <c r="K196" s="5">
        <v>739.3</v>
      </c>
      <c r="L196" s="5">
        <v>752.8</v>
      </c>
      <c r="M196" s="9">
        <v>13.5</v>
      </c>
      <c r="N196" s="54">
        <v>1.83E-2</v>
      </c>
      <c r="O196" s="8">
        <v>7.4</v>
      </c>
      <c r="P196" s="9">
        <v>5.95</v>
      </c>
      <c r="Q196" s="8">
        <v>62.6</v>
      </c>
      <c r="R196" s="19">
        <v>64.400000000000006</v>
      </c>
      <c r="S196" s="8">
        <v>5</v>
      </c>
      <c r="T196" s="4" t="s">
        <v>45</v>
      </c>
      <c r="U196" s="4">
        <f t="shared" si="3"/>
        <v>1</v>
      </c>
      <c r="V196" s="10" t="s">
        <v>28</v>
      </c>
      <c r="X196" s="2" t="s">
        <v>446</v>
      </c>
      <c r="Y196" s="4" t="s">
        <v>40</v>
      </c>
    </row>
    <row r="197" spans="1:25" x14ac:dyDescent="0.35">
      <c r="A197" s="11" t="s">
        <v>447</v>
      </c>
      <c r="B197" s="50">
        <v>45286</v>
      </c>
      <c r="C197" s="11" t="s">
        <v>31</v>
      </c>
      <c r="D197" s="13" t="s">
        <v>75</v>
      </c>
      <c r="E197" s="13" t="s">
        <v>43</v>
      </c>
      <c r="F197" s="11" t="s">
        <v>55</v>
      </c>
      <c r="G197" s="11" t="str">
        <f>_xlfn.XLOOKUP(Table2[[#This Row],[operator_id]],Operators[operator_id],Operators[operator_name])</f>
        <v>T. Dinesh</v>
      </c>
      <c r="H197" s="11" t="s">
        <v>27</v>
      </c>
      <c r="I197" s="14">
        <v>822.9</v>
      </c>
      <c r="J197" s="14">
        <v>3246.2</v>
      </c>
      <c r="K197" s="14">
        <v>488.4</v>
      </c>
      <c r="L197" s="14">
        <v>488.4</v>
      </c>
      <c r="M197" s="18">
        <v>0</v>
      </c>
      <c r="N197" s="55">
        <v>0</v>
      </c>
      <c r="O197" s="17">
        <v>16.399999999999999</v>
      </c>
      <c r="P197" s="18">
        <v>16.809999999999999</v>
      </c>
      <c r="Q197" s="17">
        <v>61.7</v>
      </c>
      <c r="R197" s="19">
        <v>60</v>
      </c>
      <c r="S197" s="17">
        <v>0.5</v>
      </c>
      <c r="T197" s="13"/>
      <c r="U197" s="4">
        <f t="shared" si="3"/>
        <v>0</v>
      </c>
      <c r="V197" s="20" t="s">
        <v>38</v>
      </c>
      <c r="X197" s="11" t="s">
        <v>448</v>
      </c>
      <c r="Y197" s="13"/>
    </row>
    <row r="198" spans="1:25" x14ac:dyDescent="0.35">
      <c r="A198" s="2" t="s">
        <v>449</v>
      </c>
      <c r="B198" s="49">
        <v>45286</v>
      </c>
      <c r="C198" s="2" t="s">
        <v>23</v>
      </c>
      <c r="D198" s="4" t="s">
        <v>24</v>
      </c>
      <c r="E198" s="4" t="s">
        <v>89</v>
      </c>
      <c r="F198" s="2" t="s">
        <v>44</v>
      </c>
      <c r="G198" s="2" t="str">
        <f>_xlfn.XLOOKUP(Table2[[#This Row],[operator_id]],Operators[operator_id],Operators[operator_name])</f>
        <v>K. Fraser</v>
      </c>
      <c r="H198" s="2" t="s">
        <v>27</v>
      </c>
      <c r="I198" s="5">
        <v>806</v>
      </c>
      <c r="J198" s="5">
        <v>2833.7</v>
      </c>
      <c r="K198" s="5">
        <v>567.70000000000005</v>
      </c>
      <c r="L198" s="5">
        <v>563.5</v>
      </c>
      <c r="M198" s="52">
        <v>-4.2</v>
      </c>
      <c r="N198" s="56">
        <v>-7.4000000000000003E-3</v>
      </c>
      <c r="O198" s="8">
        <v>6.7</v>
      </c>
      <c r="P198" s="9">
        <v>6.23</v>
      </c>
      <c r="Q198" s="8">
        <v>67.7</v>
      </c>
      <c r="R198" s="8">
        <v>68.900000000000006</v>
      </c>
      <c r="S198" s="8">
        <v>0</v>
      </c>
      <c r="T198" s="4"/>
      <c r="U198" s="4">
        <f t="shared" si="3"/>
        <v>1</v>
      </c>
      <c r="V198" s="10" t="s">
        <v>28</v>
      </c>
      <c r="X198" s="2" t="s">
        <v>450</v>
      </c>
      <c r="Y198" s="4"/>
    </row>
    <row r="199" spans="1:25" x14ac:dyDescent="0.35">
      <c r="A199" s="11" t="s">
        <v>451</v>
      </c>
      <c r="B199" s="50">
        <v>45287</v>
      </c>
      <c r="C199" s="11" t="s">
        <v>42</v>
      </c>
      <c r="D199" s="13" t="s">
        <v>92</v>
      </c>
      <c r="E199" s="13" t="s">
        <v>89</v>
      </c>
      <c r="F199" s="11" t="s">
        <v>55</v>
      </c>
      <c r="G199" s="11" t="str">
        <f>_xlfn.XLOOKUP(Table2[[#This Row],[operator_id]],Operators[operator_id],Operators[operator_name])</f>
        <v>T. Dinesh</v>
      </c>
      <c r="H199" s="11" t="s">
        <v>27</v>
      </c>
      <c r="I199" s="14">
        <v>728.2</v>
      </c>
      <c r="J199" s="14">
        <v>2603.4</v>
      </c>
      <c r="K199" s="14">
        <v>425.3</v>
      </c>
      <c r="L199" s="14">
        <v>407.9</v>
      </c>
      <c r="M199" s="52">
        <v>-17.399999999999999</v>
      </c>
      <c r="N199" s="56">
        <v>-4.0899999999999999E-2</v>
      </c>
      <c r="O199" s="17">
        <v>14.5</v>
      </c>
      <c r="P199" s="18">
        <v>15.34</v>
      </c>
      <c r="Q199" s="17">
        <v>68.2</v>
      </c>
      <c r="R199" s="19">
        <v>70.2</v>
      </c>
      <c r="S199" s="17">
        <v>0</v>
      </c>
      <c r="T199" s="13"/>
      <c r="U199" s="4">
        <f t="shared" si="3"/>
        <v>0</v>
      </c>
      <c r="V199" s="20" t="s">
        <v>38</v>
      </c>
      <c r="X199" s="11" t="s">
        <v>452</v>
      </c>
      <c r="Y199" s="13"/>
    </row>
    <row r="200" spans="1:25" x14ac:dyDescent="0.35">
      <c r="A200" s="2" t="s">
        <v>453</v>
      </c>
      <c r="B200" s="49">
        <v>45290</v>
      </c>
      <c r="C200" s="2" t="s">
        <v>97</v>
      </c>
      <c r="D200" s="4" t="s">
        <v>54</v>
      </c>
      <c r="E200" s="4" t="s">
        <v>89</v>
      </c>
      <c r="F200" s="2" t="s">
        <v>44</v>
      </c>
      <c r="G200" s="2" t="str">
        <f>_xlfn.XLOOKUP(Table2[[#This Row],[operator_id]],Operators[operator_id],Operators[operator_name])</f>
        <v>K. Fraser</v>
      </c>
      <c r="H200" s="2" t="s">
        <v>27</v>
      </c>
      <c r="I200" s="5">
        <v>610</v>
      </c>
      <c r="J200" s="5">
        <v>3147.1</v>
      </c>
      <c r="K200" s="5">
        <v>433.3</v>
      </c>
      <c r="L200" s="5">
        <v>397.1</v>
      </c>
      <c r="M200" s="51">
        <v>-36.200000000000003</v>
      </c>
      <c r="N200" s="57">
        <v>-8.3500000000000005E-2</v>
      </c>
      <c r="O200" s="8">
        <v>14.9</v>
      </c>
      <c r="P200" s="9">
        <v>19.09</v>
      </c>
      <c r="Q200" s="8">
        <v>65.3</v>
      </c>
      <c r="R200" s="19">
        <v>63.5</v>
      </c>
      <c r="S200" s="8">
        <v>0</v>
      </c>
      <c r="T200" s="4"/>
      <c r="U200" s="4">
        <f t="shared" si="3"/>
        <v>1</v>
      </c>
      <c r="V200" s="10" t="s">
        <v>28</v>
      </c>
      <c r="X200" s="2" t="s">
        <v>454</v>
      </c>
      <c r="Y200" s="4" t="s">
        <v>66</v>
      </c>
    </row>
    <row r="201" spans="1:25" x14ac:dyDescent="0.35">
      <c r="A201" s="11" t="s">
        <v>455</v>
      </c>
      <c r="B201" s="50">
        <v>45291</v>
      </c>
      <c r="C201" s="11" t="s">
        <v>31</v>
      </c>
      <c r="D201" s="13" t="s">
        <v>24</v>
      </c>
      <c r="E201" s="13" t="s">
        <v>43</v>
      </c>
      <c r="F201" s="11" t="s">
        <v>59</v>
      </c>
      <c r="G201" s="11" t="str">
        <f>_xlfn.XLOOKUP(Table2[[#This Row],[operator_id]],Operators[operator_id],Operators[operator_name])</f>
        <v>R. Osei</v>
      </c>
      <c r="H201" s="11" t="s">
        <v>34</v>
      </c>
      <c r="I201" s="14">
        <v>692.3</v>
      </c>
      <c r="J201" s="14">
        <v>2892.6</v>
      </c>
      <c r="K201" s="14">
        <v>412.5</v>
      </c>
      <c r="L201" s="14">
        <v>419.6</v>
      </c>
      <c r="M201" s="18">
        <v>7.1</v>
      </c>
      <c r="N201" s="55">
        <v>1.72E-2</v>
      </c>
      <c r="O201" s="17">
        <v>17.3</v>
      </c>
      <c r="P201" s="18">
        <v>23.41</v>
      </c>
      <c r="Q201" s="17">
        <v>63.9</v>
      </c>
      <c r="R201" s="17">
        <v>64.400000000000006</v>
      </c>
      <c r="S201" s="17">
        <v>0</v>
      </c>
      <c r="T201" s="13"/>
      <c r="U201" s="4">
        <f t="shared" si="3"/>
        <v>1</v>
      </c>
      <c r="V201" s="10" t="s">
        <v>28</v>
      </c>
      <c r="X201" s="11" t="s">
        <v>456</v>
      </c>
      <c r="Y201" s="13"/>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C4FFE-75C6-4D03-857C-8B6DCD797B03}">
  <sheetPr>
    <tabColor rgb="FFFFFF00"/>
  </sheetPr>
  <dimension ref="A1:Z241"/>
  <sheetViews>
    <sheetView topLeftCell="L1" workbookViewId="0">
      <selection activeCell="V1" sqref="V1:V1048576"/>
    </sheetView>
  </sheetViews>
  <sheetFormatPr defaultRowHeight="14.5" x14ac:dyDescent="0.35"/>
  <cols>
    <col min="1" max="1" width="13.54296875" bestFit="1" customWidth="1"/>
    <col min="2" max="2" width="12.453125" bestFit="1" customWidth="1"/>
    <col min="3" max="3" width="8.54296875" bestFit="1" customWidth="1"/>
    <col min="4" max="4" width="19.81640625" bestFit="1" customWidth="1"/>
    <col min="5" max="5" width="13.7265625" bestFit="1" customWidth="1"/>
    <col min="6" max="6" width="16.453125" bestFit="1" customWidth="1"/>
    <col min="7" max="7" width="15.6328125" bestFit="1" customWidth="1"/>
    <col min="8" max="8" width="13" bestFit="1" customWidth="1"/>
    <col min="9" max="9" width="26.453125" bestFit="1" customWidth="1"/>
    <col min="10" max="10" width="6.7265625" bestFit="1" customWidth="1"/>
    <col min="11" max="11" width="15.54296875" bestFit="1" customWidth="1"/>
    <col min="12" max="12" width="15.1796875" bestFit="1" customWidth="1"/>
    <col min="13" max="13" width="20.1796875" bestFit="1" customWidth="1"/>
    <col min="14" max="14" width="16.6328125" bestFit="1" customWidth="1"/>
    <col min="15" max="15" width="11.90625" bestFit="1" customWidth="1"/>
    <col min="16" max="16" width="13.6328125" bestFit="1" customWidth="1"/>
    <col min="17" max="17" width="13.453125" bestFit="1" customWidth="1"/>
    <col min="18" max="18" width="21.453125" bestFit="1" customWidth="1"/>
    <col min="19" max="19" width="15.6328125" style="62" bestFit="1" customWidth="1"/>
    <col min="20" max="20" width="15.7265625" style="60" bestFit="1" customWidth="1"/>
    <col min="21" max="21" width="15.7265625" customWidth="1"/>
    <col min="22" max="22" width="23.08984375" bestFit="1" customWidth="1"/>
    <col min="23" max="23" width="23.08984375" customWidth="1"/>
    <col min="24" max="24" width="11" bestFit="1" customWidth="1"/>
    <col min="25" max="25" width="14.90625" bestFit="1" customWidth="1"/>
    <col min="26" max="26" width="47.7265625" customWidth="1"/>
  </cols>
  <sheetData>
    <row r="1" spans="1:26" x14ac:dyDescent="0.35">
      <c r="A1" t="s">
        <v>0</v>
      </c>
      <c r="B1" t="s">
        <v>1</v>
      </c>
      <c r="C1" t="s">
        <v>2</v>
      </c>
      <c r="D1" t="s">
        <v>1314</v>
      </c>
      <c r="E1" t="s">
        <v>1315</v>
      </c>
      <c r="F1" t="s">
        <v>3</v>
      </c>
      <c r="G1" t="s">
        <v>4</v>
      </c>
      <c r="H1" t="s">
        <v>5</v>
      </c>
      <c r="I1" t="s">
        <v>1322</v>
      </c>
      <c r="J1" t="s">
        <v>6</v>
      </c>
      <c r="K1" t="s">
        <v>7</v>
      </c>
      <c r="L1" t="s">
        <v>8</v>
      </c>
      <c r="M1" t="s">
        <v>9</v>
      </c>
      <c r="N1" t="s">
        <v>10</v>
      </c>
      <c r="O1" t="s">
        <v>11</v>
      </c>
      <c r="P1" t="s">
        <v>12</v>
      </c>
      <c r="Q1" t="s">
        <v>13</v>
      </c>
      <c r="R1" t="s">
        <v>14</v>
      </c>
      <c r="S1" s="60" t="s">
        <v>15</v>
      </c>
      <c r="T1" s="60" t="s">
        <v>16</v>
      </c>
      <c r="U1" t="s">
        <v>17</v>
      </c>
      <c r="V1" t="s">
        <v>18</v>
      </c>
      <c r="W1" t="s">
        <v>19</v>
      </c>
      <c r="X1" t="s">
        <v>1321</v>
      </c>
      <c r="Y1" t="s">
        <v>20</v>
      </c>
      <c r="Z1" t="s">
        <v>21</v>
      </c>
    </row>
    <row r="2" spans="1:26" x14ac:dyDescent="0.35">
      <c r="A2" t="s">
        <v>22</v>
      </c>
      <c r="B2">
        <v>44927</v>
      </c>
      <c r="C2" t="s">
        <v>23</v>
      </c>
      <c r="D2" t="s">
        <v>1235</v>
      </c>
      <c r="E2" t="s">
        <v>1236</v>
      </c>
      <c r="F2" t="s">
        <v>24</v>
      </c>
      <c r="G2" t="s">
        <v>25</v>
      </c>
      <c r="H2" t="s">
        <v>26</v>
      </c>
      <c r="I2" t="s">
        <v>1260</v>
      </c>
      <c r="J2" t="s">
        <v>27</v>
      </c>
      <c r="K2">
        <v>1133.7</v>
      </c>
      <c r="L2">
        <v>5470.7</v>
      </c>
      <c r="M2">
        <v>658.7</v>
      </c>
      <c r="N2">
        <v>677.4</v>
      </c>
      <c r="O2">
        <v>18.7</v>
      </c>
      <c r="P2">
        <v>2.8400000000000002E-2</v>
      </c>
      <c r="Q2">
        <v>15.5</v>
      </c>
      <c r="R2">
        <v>19.05</v>
      </c>
      <c r="S2" s="60">
        <v>62.5</v>
      </c>
      <c r="T2" s="60">
        <v>62.2</v>
      </c>
      <c r="U2">
        <v>2</v>
      </c>
      <c r="W2" t="s">
        <v>28</v>
      </c>
      <c r="X2">
        <f>IF(Merge1[[#This Row],[qc_status]]="PASS",1,0)</f>
        <v>1</v>
      </c>
      <c r="Y2" t="s">
        <v>29</v>
      </c>
    </row>
    <row r="3" spans="1:26" x14ac:dyDescent="0.35">
      <c r="A3" t="s">
        <v>22</v>
      </c>
      <c r="B3">
        <v>44927</v>
      </c>
      <c r="C3" t="s">
        <v>23</v>
      </c>
      <c r="D3" t="s">
        <v>1235</v>
      </c>
      <c r="E3" t="s">
        <v>1236</v>
      </c>
      <c r="F3" t="s">
        <v>24</v>
      </c>
      <c r="G3" t="s">
        <v>25</v>
      </c>
      <c r="H3" t="s">
        <v>26</v>
      </c>
      <c r="I3" t="s">
        <v>1260</v>
      </c>
      <c r="J3" t="s">
        <v>27</v>
      </c>
      <c r="K3">
        <v>1133.7</v>
      </c>
      <c r="L3">
        <v>5470.7</v>
      </c>
      <c r="M3">
        <v>658.7</v>
      </c>
      <c r="N3">
        <v>677.4</v>
      </c>
      <c r="O3">
        <v>18.7</v>
      </c>
      <c r="P3">
        <v>2.8400000000000002E-2</v>
      </c>
      <c r="Q3">
        <v>15.5</v>
      </c>
      <c r="R3">
        <v>19.05</v>
      </c>
      <c r="S3" s="60">
        <v>62.5</v>
      </c>
      <c r="T3" s="60">
        <v>62.2</v>
      </c>
      <c r="U3">
        <v>2</v>
      </c>
      <c r="W3" t="s">
        <v>28</v>
      </c>
      <c r="X3">
        <f>IF(Merge1[[#This Row],[qc_status]]="PASS",1,0)</f>
        <v>1</v>
      </c>
      <c r="Y3" t="s">
        <v>29</v>
      </c>
    </row>
    <row r="4" spans="1:26" x14ac:dyDescent="0.35">
      <c r="A4" t="s">
        <v>36</v>
      </c>
      <c r="B4">
        <v>44928</v>
      </c>
      <c r="C4" t="s">
        <v>31</v>
      </c>
      <c r="D4" t="s">
        <v>1241</v>
      </c>
      <c r="E4" t="s">
        <v>1242</v>
      </c>
      <c r="F4" t="s">
        <v>37</v>
      </c>
      <c r="G4" t="s">
        <v>32</v>
      </c>
      <c r="H4" t="s">
        <v>26</v>
      </c>
      <c r="I4" t="s">
        <v>1260</v>
      </c>
      <c r="J4" t="s">
        <v>27</v>
      </c>
      <c r="K4">
        <v>651.29999999999995</v>
      </c>
      <c r="L4">
        <v>3235.9</v>
      </c>
      <c r="M4">
        <v>366.1</v>
      </c>
      <c r="N4">
        <v>368.7</v>
      </c>
      <c r="O4">
        <v>2.6</v>
      </c>
      <c r="P4">
        <v>7.1000000000000004E-3</v>
      </c>
      <c r="Q4">
        <v>8.1</v>
      </c>
      <c r="R4">
        <v>8.1</v>
      </c>
      <c r="S4" s="60">
        <v>61.5</v>
      </c>
      <c r="T4" s="60">
        <v>61.6</v>
      </c>
      <c r="U4">
        <v>3</v>
      </c>
      <c r="W4" t="s">
        <v>38</v>
      </c>
      <c r="X4">
        <f>IF(Merge1[[#This Row],[qc_status]]="PASS",1,0)</f>
        <v>0</v>
      </c>
      <c r="Y4" t="s">
        <v>39</v>
      </c>
      <c r="Z4" t="s">
        <v>40</v>
      </c>
    </row>
    <row r="5" spans="1:26" x14ac:dyDescent="0.35">
      <c r="A5" t="s">
        <v>41</v>
      </c>
      <c r="B5">
        <v>44929</v>
      </c>
      <c r="C5" t="s">
        <v>42</v>
      </c>
      <c r="D5" t="s">
        <v>1246</v>
      </c>
      <c r="E5" t="s">
        <v>1247</v>
      </c>
      <c r="F5" t="s">
        <v>24</v>
      </c>
      <c r="G5" t="s">
        <v>43</v>
      </c>
      <c r="H5" t="s">
        <v>44</v>
      </c>
      <c r="I5" t="s">
        <v>1255</v>
      </c>
      <c r="J5" t="s">
        <v>27</v>
      </c>
      <c r="K5">
        <v>903.4</v>
      </c>
      <c r="L5">
        <v>3272.6</v>
      </c>
      <c r="M5">
        <v>632</v>
      </c>
      <c r="N5">
        <v>618.20000000000005</v>
      </c>
      <c r="O5">
        <v>-13.8</v>
      </c>
      <c r="P5">
        <v>-2.18E-2</v>
      </c>
      <c r="Q5">
        <v>6.1</v>
      </c>
      <c r="R5">
        <v>8.2899999999999991</v>
      </c>
      <c r="S5" s="60">
        <v>60.4</v>
      </c>
      <c r="T5" s="60">
        <v>59.9</v>
      </c>
      <c r="U5">
        <v>0.5</v>
      </c>
      <c r="V5" t="s">
        <v>45</v>
      </c>
      <c r="W5" t="s">
        <v>28</v>
      </c>
      <c r="X5">
        <f>IF(Merge1[[#This Row],[qc_status]]="PASS",1,0)</f>
        <v>1</v>
      </c>
      <c r="Y5" t="s">
        <v>46</v>
      </c>
    </row>
    <row r="6" spans="1:26" hidden="1" x14ac:dyDescent="0.35">
      <c r="A6" t="s">
        <v>47</v>
      </c>
      <c r="B6">
        <v>44932</v>
      </c>
      <c r="C6" t="s">
        <v>42</v>
      </c>
      <c r="D6" t="s">
        <v>1246</v>
      </c>
      <c r="E6" t="s">
        <v>1247</v>
      </c>
      <c r="F6" t="s">
        <v>24</v>
      </c>
      <c r="G6" t="s">
        <v>48</v>
      </c>
      <c r="H6" t="s">
        <v>44</v>
      </c>
      <c r="I6" t="s">
        <v>1255</v>
      </c>
      <c r="J6" t="s">
        <v>34</v>
      </c>
      <c r="K6">
        <v>719.3</v>
      </c>
      <c r="L6">
        <v>3700.6</v>
      </c>
      <c r="M6">
        <v>444.5</v>
      </c>
      <c r="N6">
        <v>443.9</v>
      </c>
      <c r="O6">
        <v>-0.6</v>
      </c>
      <c r="P6">
        <v>-1.2999999999999999E-3</v>
      </c>
      <c r="Q6">
        <v>5.3</v>
      </c>
      <c r="R6">
        <v>7.04</v>
      </c>
      <c r="S6">
        <v>69.2</v>
      </c>
      <c r="T6">
        <v>70.3</v>
      </c>
      <c r="U6">
        <v>0</v>
      </c>
      <c r="W6" t="s">
        <v>28</v>
      </c>
      <c r="X6">
        <f>IF(Merge1[[#This Row],[qc_status]]="PASS",1,0)</f>
        <v>1</v>
      </c>
      <c r="Y6" t="s">
        <v>49</v>
      </c>
    </row>
    <row r="7" spans="1:26" hidden="1" x14ac:dyDescent="0.35">
      <c r="A7" t="s">
        <v>30</v>
      </c>
      <c r="B7">
        <v>44928</v>
      </c>
      <c r="C7" t="s">
        <v>31</v>
      </c>
      <c r="D7" t="s">
        <v>1241</v>
      </c>
      <c r="E7" t="s">
        <v>1242</v>
      </c>
      <c r="F7" t="s">
        <v>24</v>
      </c>
      <c r="G7" t="s">
        <v>32</v>
      </c>
      <c r="H7" t="s">
        <v>33</v>
      </c>
      <c r="I7" t="s">
        <v>1258</v>
      </c>
      <c r="J7" t="s">
        <v>34</v>
      </c>
      <c r="K7">
        <v>968.1</v>
      </c>
      <c r="L7">
        <v>3761.3</v>
      </c>
      <c r="M7">
        <v>569.29999999999995</v>
      </c>
      <c r="N7">
        <v>579</v>
      </c>
      <c r="O7">
        <v>9.6999999999999993</v>
      </c>
      <c r="P7">
        <v>1.7000000000000001E-2</v>
      </c>
      <c r="Q7">
        <v>12.1</v>
      </c>
      <c r="R7">
        <v>16.2</v>
      </c>
      <c r="S7">
        <v>62.3</v>
      </c>
      <c r="T7">
        <v>63.9</v>
      </c>
      <c r="U7">
        <v>0</v>
      </c>
      <c r="W7" t="s">
        <v>28</v>
      </c>
      <c r="X7">
        <f>IF(Merge1[[#This Row],[qc_status]]="PASS",1,0)</f>
        <v>1</v>
      </c>
      <c r="Y7" t="s">
        <v>35</v>
      </c>
    </row>
    <row r="8" spans="1:26" x14ac:dyDescent="0.35">
      <c r="A8" t="s">
        <v>50</v>
      </c>
      <c r="B8">
        <v>44932</v>
      </c>
      <c r="C8" t="s">
        <v>51</v>
      </c>
      <c r="D8" t="s">
        <v>1244</v>
      </c>
      <c r="E8" t="s">
        <v>1242</v>
      </c>
      <c r="F8" t="s">
        <v>24</v>
      </c>
      <c r="G8" t="s">
        <v>32</v>
      </c>
      <c r="H8" t="s">
        <v>33</v>
      </c>
      <c r="I8" t="s">
        <v>1258</v>
      </c>
      <c r="J8" t="s">
        <v>27</v>
      </c>
      <c r="K8">
        <v>466.9</v>
      </c>
      <c r="L8">
        <v>1816.3</v>
      </c>
      <c r="M8">
        <v>330.9</v>
      </c>
      <c r="N8">
        <v>329.2</v>
      </c>
      <c r="O8">
        <v>-1.7</v>
      </c>
      <c r="P8">
        <v>-5.1000000000000004E-3</v>
      </c>
      <c r="Q8">
        <v>5.6</v>
      </c>
      <c r="R8">
        <v>6.94</v>
      </c>
      <c r="S8" s="60">
        <v>67.099999999999994</v>
      </c>
      <c r="T8" s="60">
        <v>65.5</v>
      </c>
      <c r="U8">
        <v>1</v>
      </c>
      <c r="W8" t="s">
        <v>28</v>
      </c>
      <c r="X8">
        <f>IF(Merge1[[#This Row],[qc_status]]="PASS",1,0)</f>
        <v>1</v>
      </c>
      <c r="Y8" t="s">
        <v>52</v>
      </c>
    </row>
    <row r="9" spans="1:26" hidden="1" x14ac:dyDescent="0.35">
      <c r="A9" t="s">
        <v>53</v>
      </c>
      <c r="B9">
        <v>44934</v>
      </c>
      <c r="C9" t="s">
        <v>23</v>
      </c>
      <c r="D9" t="s">
        <v>1235</v>
      </c>
      <c r="E9" t="s">
        <v>1236</v>
      </c>
      <c r="F9" t="s">
        <v>54</v>
      </c>
      <c r="G9" t="s">
        <v>32</v>
      </c>
      <c r="H9" t="s">
        <v>55</v>
      </c>
      <c r="I9" t="s">
        <v>1253</v>
      </c>
      <c r="J9" t="s">
        <v>34</v>
      </c>
      <c r="K9">
        <v>924.1</v>
      </c>
      <c r="L9">
        <v>3241.6</v>
      </c>
      <c r="M9">
        <v>615.20000000000005</v>
      </c>
      <c r="N9">
        <v>578.70000000000005</v>
      </c>
      <c r="O9">
        <v>-36.5</v>
      </c>
      <c r="P9">
        <v>-5.9299999999999999E-2</v>
      </c>
      <c r="Q9">
        <v>8.5</v>
      </c>
      <c r="R9">
        <v>8.1300000000000008</v>
      </c>
      <c r="S9">
        <v>61.4</v>
      </c>
      <c r="T9">
        <v>63.5</v>
      </c>
      <c r="U9">
        <v>0</v>
      </c>
      <c r="W9" t="s">
        <v>28</v>
      </c>
      <c r="X9">
        <f>IF(Merge1[[#This Row],[qc_status]]="PASS",1,0)</f>
        <v>1</v>
      </c>
      <c r="Y9" t="s">
        <v>56</v>
      </c>
      <c r="Z9" t="s">
        <v>57</v>
      </c>
    </row>
    <row r="10" spans="1:26" hidden="1" x14ac:dyDescent="0.35">
      <c r="A10" t="s">
        <v>53</v>
      </c>
      <c r="B10">
        <v>44934</v>
      </c>
      <c r="C10" t="s">
        <v>23</v>
      </c>
      <c r="D10" t="s">
        <v>1235</v>
      </c>
      <c r="E10" t="s">
        <v>1236</v>
      </c>
      <c r="F10" t="s">
        <v>54</v>
      </c>
      <c r="G10" t="s">
        <v>32</v>
      </c>
      <c r="H10" t="s">
        <v>55</v>
      </c>
      <c r="I10" t="s">
        <v>1253</v>
      </c>
      <c r="J10" t="s">
        <v>34</v>
      </c>
      <c r="K10">
        <v>924.1</v>
      </c>
      <c r="L10">
        <v>3241.6</v>
      </c>
      <c r="M10">
        <v>615.20000000000005</v>
      </c>
      <c r="N10">
        <v>578.70000000000005</v>
      </c>
      <c r="O10">
        <v>-36.5</v>
      </c>
      <c r="P10">
        <v>-5.9299999999999999E-2</v>
      </c>
      <c r="Q10">
        <v>8.5</v>
      </c>
      <c r="R10">
        <v>8.1300000000000008</v>
      </c>
      <c r="S10">
        <v>61.4</v>
      </c>
      <c r="T10">
        <v>63.5</v>
      </c>
      <c r="U10">
        <v>0</v>
      </c>
      <c r="W10" t="s">
        <v>28</v>
      </c>
      <c r="X10">
        <f>IF(Merge1[[#This Row],[qc_status]]="PASS",1,0)</f>
        <v>1</v>
      </c>
      <c r="Y10" t="s">
        <v>56</v>
      </c>
      <c r="Z10" t="s">
        <v>57</v>
      </c>
    </row>
    <row r="11" spans="1:26" x14ac:dyDescent="0.35">
      <c r="A11" t="s">
        <v>58</v>
      </c>
      <c r="B11">
        <v>44934</v>
      </c>
      <c r="C11" t="s">
        <v>42</v>
      </c>
      <c r="D11" t="s">
        <v>1246</v>
      </c>
      <c r="E11" t="s">
        <v>1247</v>
      </c>
      <c r="F11" t="s">
        <v>24</v>
      </c>
      <c r="G11" t="s">
        <v>25</v>
      </c>
      <c r="H11" t="s">
        <v>59</v>
      </c>
      <c r="I11" t="s">
        <v>1257</v>
      </c>
      <c r="J11" t="s">
        <v>27</v>
      </c>
      <c r="K11">
        <v>824.9</v>
      </c>
      <c r="L11">
        <v>3736.2</v>
      </c>
      <c r="M11">
        <v>593.9</v>
      </c>
      <c r="N11">
        <v>599.6</v>
      </c>
      <c r="O11">
        <v>5.7</v>
      </c>
      <c r="P11">
        <v>9.5999999999999992E-3</v>
      </c>
      <c r="Q11">
        <v>13.4</v>
      </c>
      <c r="R11">
        <v>14.76</v>
      </c>
      <c r="S11" s="60">
        <v>68.5</v>
      </c>
      <c r="T11" s="60">
        <v>66.099999999999994</v>
      </c>
      <c r="U11">
        <v>3</v>
      </c>
      <c r="W11" t="s">
        <v>38</v>
      </c>
      <c r="X11">
        <f>IF(Merge1[[#This Row],[qc_status]]="PASS",1,0)</f>
        <v>0</v>
      </c>
      <c r="Y11" t="s">
        <v>60</v>
      </c>
      <c r="Z11" t="s">
        <v>61</v>
      </c>
    </row>
    <row r="12" spans="1:26" x14ac:dyDescent="0.35">
      <c r="A12" t="s">
        <v>62</v>
      </c>
      <c r="B12">
        <v>44936</v>
      </c>
      <c r="C12" t="s">
        <v>31</v>
      </c>
      <c r="D12" t="s">
        <v>1241</v>
      </c>
      <c r="E12" t="s">
        <v>1242</v>
      </c>
      <c r="F12" t="s">
        <v>54</v>
      </c>
      <c r="G12" t="s">
        <v>32</v>
      </c>
      <c r="H12" t="s">
        <v>44</v>
      </c>
      <c r="I12" t="s">
        <v>1255</v>
      </c>
      <c r="J12" t="s">
        <v>27</v>
      </c>
      <c r="K12">
        <v>1023.8</v>
      </c>
      <c r="L12">
        <v>3627.4</v>
      </c>
      <c r="M12">
        <v>593.70000000000005</v>
      </c>
      <c r="N12">
        <v>576.5</v>
      </c>
      <c r="O12">
        <v>-17.2</v>
      </c>
      <c r="P12">
        <v>-2.9000000000000001E-2</v>
      </c>
      <c r="Q12">
        <v>14.6</v>
      </c>
      <c r="R12">
        <v>12.3</v>
      </c>
      <c r="S12" s="60">
        <v>60</v>
      </c>
      <c r="T12" s="60">
        <v>58.1</v>
      </c>
      <c r="U12">
        <v>0</v>
      </c>
      <c r="W12" t="s">
        <v>28</v>
      </c>
      <c r="X12">
        <f>IF(Merge1[[#This Row],[qc_status]]="PASS",1,0)</f>
        <v>1</v>
      </c>
      <c r="Y12" t="s">
        <v>63</v>
      </c>
    </row>
    <row r="13" spans="1:26" x14ac:dyDescent="0.35">
      <c r="A13" t="s">
        <v>64</v>
      </c>
      <c r="B13">
        <v>44937</v>
      </c>
      <c r="C13" t="s">
        <v>51</v>
      </c>
      <c r="D13" t="s">
        <v>1244</v>
      </c>
      <c r="E13" t="s">
        <v>1242</v>
      </c>
      <c r="F13" t="s">
        <v>24</v>
      </c>
      <c r="G13" t="s">
        <v>32</v>
      </c>
      <c r="H13" t="s">
        <v>33</v>
      </c>
      <c r="I13" t="s">
        <v>1258</v>
      </c>
      <c r="J13" t="s">
        <v>27</v>
      </c>
      <c r="K13">
        <v>951.5</v>
      </c>
      <c r="L13">
        <v>4330.3</v>
      </c>
      <c r="M13">
        <v>576.9</v>
      </c>
      <c r="N13">
        <v>527.20000000000005</v>
      </c>
      <c r="O13">
        <v>-49.7</v>
      </c>
      <c r="P13">
        <v>-8.6199999999999999E-2</v>
      </c>
      <c r="Q13">
        <v>12</v>
      </c>
      <c r="R13">
        <v>11.38</v>
      </c>
      <c r="S13" s="60">
        <v>62.2</v>
      </c>
      <c r="T13" s="60">
        <v>61.7</v>
      </c>
      <c r="U13">
        <v>0</v>
      </c>
      <c r="W13" t="s">
        <v>38</v>
      </c>
      <c r="X13">
        <f>IF(Merge1[[#This Row],[qc_status]]="PASS",1,0)</f>
        <v>0</v>
      </c>
      <c r="Y13" t="s">
        <v>65</v>
      </c>
      <c r="Z13" t="s">
        <v>66</v>
      </c>
    </row>
    <row r="14" spans="1:26" hidden="1" x14ac:dyDescent="0.35">
      <c r="A14" t="s">
        <v>67</v>
      </c>
      <c r="B14">
        <v>44945</v>
      </c>
      <c r="C14" t="s">
        <v>23</v>
      </c>
      <c r="D14" t="s">
        <v>1235</v>
      </c>
      <c r="E14" t="s">
        <v>1236</v>
      </c>
      <c r="F14" t="s">
        <v>24</v>
      </c>
      <c r="G14" t="s">
        <v>43</v>
      </c>
      <c r="H14" t="s">
        <v>33</v>
      </c>
      <c r="I14" t="s">
        <v>1258</v>
      </c>
      <c r="J14" t="s">
        <v>34</v>
      </c>
      <c r="K14">
        <v>464.9</v>
      </c>
      <c r="L14">
        <v>2022.7</v>
      </c>
      <c r="M14">
        <v>262.5</v>
      </c>
      <c r="N14">
        <v>257.3</v>
      </c>
      <c r="O14">
        <v>-5.2</v>
      </c>
      <c r="P14">
        <v>-1.9800000000000002E-2</v>
      </c>
      <c r="Q14">
        <v>8.6</v>
      </c>
      <c r="R14">
        <v>9.58</v>
      </c>
      <c r="S14">
        <v>62</v>
      </c>
      <c r="T14">
        <v>63.4</v>
      </c>
      <c r="U14">
        <v>0</v>
      </c>
      <c r="W14" t="s">
        <v>28</v>
      </c>
      <c r="X14">
        <f>IF(Merge1[[#This Row],[qc_status]]="PASS",1,0)</f>
        <v>1</v>
      </c>
      <c r="Y14" t="s">
        <v>68</v>
      </c>
    </row>
    <row r="15" spans="1:26" hidden="1" x14ac:dyDescent="0.35">
      <c r="A15" t="s">
        <v>67</v>
      </c>
      <c r="B15">
        <v>44945</v>
      </c>
      <c r="C15" t="s">
        <v>23</v>
      </c>
      <c r="D15" t="s">
        <v>1235</v>
      </c>
      <c r="E15" t="s">
        <v>1236</v>
      </c>
      <c r="F15" t="s">
        <v>24</v>
      </c>
      <c r="G15" t="s">
        <v>43</v>
      </c>
      <c r="H15" t="s">
        <v>33</v>
      </c>
      <c r="I15" t="s">
        <v>1258</v>
      </c>
      <c r="J15" t="s">
        <v>34</v>
      </c>
      <c r="K15">
        <v>464.9</v>
      </c>
      <c r="L15">
        <v>2022.7</v>
      </c>
      <c r="M15">
        <v>262.5</v>
      </c>
      <c r="N15">
        <v>257.3</v>
      </c>
      <c r="O15">
        <v>-5.2</v>
      </c>
      <c r="P15">
        <v>-1.9800000000000002E-2</v>
      </c>
      <c r="Q15">
        <v>8.6</v>
      </c>
      <c r="R15">
        <v>9.58</v>
      </c>
      <c r="S15">
        <v>62</v>
      </c>
      <c r="T15">
        <v>63.4</v>
      </c>
      <c r="U15">
        <v>0</v>
      </c>
      <c r="W15" t="s">
        <v>28</v>
      </c>
      <c r="X15">
        <f>IF(Merge1[[#This Row],[qc_status]]="PASS",1,0)</f>
        <v>1</v>
      </c>
      <c r="Y15" t="s">
        <v>68</v>
      </c>
    </row>
    <row r="16" spans="1:26" hidden="1" x14ac:dyDescent="0.35">
      <c r="A16" t="s">
        <v>69</v>
      </c>
      <c r="B16">
        <v>44951</v>
      </c>
      <c r="C16" t="s">
        <v>31</v>
      </c>
      <c r="D16" t="s">
        <v>1241</v>
      </c>
      <c r="E16" t="s">
        <v>1242</v>
      </c>
      <c r="F16" t="s">
        <v>37</v>
      </c>
      <c r="G16" t="s">
        <v>43</v>
      </c>
      <c r="H16" t="s">
        <v>26</v>
      </c>
      <c r="I16" t="s">
        <v>1260</v>
      </c>
      <c r="J16" t="s">
        <v>34</v>
      </c>
      <c r="K16">
        <v>526.79999999999995</v>
      </c>
      <c r="L16">
        <v>2306.4</v>
      </c>
      <c r="M16">
        <v>352</v>
      </c>
      <c r="N16">
        <v>359.1</v>
      </c>
      <c r="O16">
        <v>7.1</v>
      </c>
      <c r="P16">
        <v>2.0199999999999999E-2</v>
      </c>
      <c r="Q16">
        <v>5.6</v>
      </c>
      <c r="R16">
        <v>5.0599999999999996</v>
      </c>
      <c r="S16">
        <v>62.8</v>
      </c>
      <c r="T16">
        <v>62.1</v>
      </c>
      <c r="U16">
        <v>1</v>
      </c>
      <c r="V16" t="s">
        <v>70</v>
      </c>
      <c r="W16" t="s">
        <v>28</v>
      </c>
      <c r="X16">
        <f>IF(Merge1[[#This Row],[qc_status]]="PASS",1,0)</f>
        <v>1</v>
      </c>
      <c r="Y16" t="s">
        <v>71</v>
      </c>
    </row>
    <row r="17" spans="1:26" hidden="1" x14ac:dyDescent="0.35">
      <c r="A17" t="s">
        <v>72</v>
      </c>
      <c r="B17">
        <v>44953</v>
      </c>
      <c r="C17" t="s">
        <v>42</v>
      </c>
      <c r="D17" t="s">
        <v>1246</v>
      </c>
      <c r="E17" t="s">
        <v>1247</v>
      </c>
      <c r="F17" t="s">
        <v>24</v>
      </c>
      <c r="G17" t="s">
        <v>25</v>
      </c>
      <c r="H17" t="s">
        <v>44</v>
      </c>
      <c r="I17" t="s">
        <v>1255</v>
      </c>
      <c r="J17" t="s">
        <v>34</v>
      </c>
      <c r="K17">
        <v>710.4</v>
      </c>
      <c r="L17">
        <v>3900.9</v>
      </c>
      <c r="M17">
        <v>506.3</v>
      </c>
      <c r="N17">
        <v>461.4</v>
      </c>
      <c r="O17">
        <v>-44.9</v>
      </c>
      <c r="P17">
        <v>-8.8700000000000001E-2</v>
      </c>
      <c r="Q17">
        <v>13.3</v>
      </c>
      <c r="R17">
        <v>15.55</v>
      </c>
      <c r="S17">
        <v>69.599999999999994</v>
      </c>
      <c r="T17">
        <v>72</v>
      </c>
      <c r="U17">
        <v>1</v>
      </c>
      <c r="W17" t="s">
        <v>28</v>
      </c>
      <c r="X17">
        <f>IF(Merge1[[#This Row],[qc_status]]="PASS",1,0)</f>
        <v>1</v>
      </c>
      <c r="Y17" t="s">
        <v>73</v>
      </c>
      <c r="Z17" t="s">
        <v>66</v>
      </c>
    </row>
    <row r="18" spans="1:26" x14ac:dyDescent="0.35">
      <c r="A18" t="s">
        <v>74</v>
      </c>
      <c r="B18">
        <v>44956</v>
      </c>
      <c r="C18" t="s">
        <v>42</v>
      </c>
      <c r="D18" t="s">
        <v>1246</v>
      </c>
      <c r="E18" t="s">
        <v>1247</v>
      </c>
      <c r="F18" t="s">
        <v>75</v>
      </c>
      <c r="G18" t="s">
        <v>32</v>
      </c>
      <c r="H18" t="s">
        <v>44</v>
      </c>
      <c r="I18" t="s">
        <v>1255</v>
      </c>
      <c r="J18" t="s">
        <v>27</v>
      </c>
      <c r="K18">
        <v>603.20000000000005</v>
      </c>
      <c r="L18">
        <v>3217.6</v>
      </c>
      <c r="M18">
        <v>345.7</v>
      </c>
      <c r="N18">
        <v>329.4</v>
      </c>
      <c r="O18">
        <v>-16.3</v>
      </c>
      <c r="P18">
        <v>-4.7199999999999999E-2</v>
      </c>
      <c r="Q18">
        <v>8.9</v>
      </c>
      <c r="R18">
        <v>11.44</v>
      </c>
      <c r="S18" s="60">
        <v>63.8</v>
      </c>
      <c r="T18" s="60">
        <v>64.099999999999994</v>
      </c>
      <c r="U18">
        <v>0</v>
      </c>
      <c r="W18" t="s">
        <v>28</v>
      </c>
      <c r="X18">
        <f>IF(Merge1[[#This Row],[qc_status]]="PASS",1,0)</f>
        <v>1</v>
      </c>
      <c r="Y18" t="s">
        <v>76</v>
      </c>
    </row>
    <row r="19" spans="1:26" hidden="1" x14ac:dyDescent="0.35">
      <c r="A19" t="s">
        <v>77</v>
      </c>
      <c r="B19">
        <v>44957</v>
      </c>
      <c r="C19" t="s">
        <v>42</v>
      </c>
      <c r="D19" t="s">
        <v>1246</v>
      </c>
      <c r="E19" t="s">
        <v>1247</v>
      </c>
      <c r="F19" t="s">
        <v>54</v>
      </c>
      <c r="G19" t="s">
        <v>25</v>
      </c>
      <c r="H19" t="s">
        <v>44</v>
      </c>
      <c r="I19" t="s">
        <v>1255</v>
      </c>
      <c r="J19" t="s">
        <v>34</v>
      </c>
      <c r="K19">
        <v>982.4</v>
      </c>
      <c r="L19">
        <v>4151.1000000000004</v>
      </c>
      <c r="M19">
        <v>685</v>
      </c>
      <c r="N19">
        <v>664.3</v>
      </c>
      <c r="O19">
        <v>-20.7</v>
      </c>
      <c r="P19">
        <v>-3.0200000000000001E-2</v>
      </c>
      <c r="Q19">
        <v>5.4</v>
      </c>
      <c r="R19">
        <v>7.26</v>
      </c>
      <c r="S19">
        <v>69</v>
      </c>
      <c r="T19">
        <v>69.7</v>
      </c>
      <c r="U19">
        <v>0</v>
      </c>
      <c r="W19" t="s">
        <v>28</v>
      </c>
      <c r="X19">
        <f>IF(Merge1[[#This Row],[qc_status]]="PASS",1,0)</f>
        <v>1</v>
      </c>
      <c r="Y19" t="s">
        <v>78</v>
      </c>
    </row>
    <row r="20" spans="1:26" hidden="1" x14ac:dyDescent="0.35">
      <c r="A20" t="s">
        <v>79</v>
      </c>
      <c r="B20">
        <v>44958</v>
      </c>
      <c r="C20" t="s">
        <v>31</v>
      </c>
      <c r="D20" t="s">
        <v>1241</v>
      </c>
      <c r="E20" t="s">
        <v>1242</v>
      </c>
      <c r="F20" t="s">
        <v>54</v>
      </c>
      <c r="G20" t="s">
        <v>43</v>
      </c>
      <c r="H20" t="s">
        <v>55</v>
      </c>
      <c r="I20" t="s">
        <v>1253</v>
      </c>
      <c r="J20" t="s">
        <v>34</v>
      </c>
      <c r="K20">
        <v>542</v>
      </c>
      <c r="L20">
        <v>2434.3000000000002</v>
      </c>
      <c r="M20">
        <v>332.1</v>
      </c>
      <c r="N20">
        <v>350.3</v>
      </c>
      <c r="O20">
        <v>18.2</v>
      </c>
      <c r="P20">
        <v>5.4800000000000001E-2</v>
      </c>
      <c r="Q20">
        <v>6.6</v>
      </c>
      <c r="R20">
        <v>6</v>
      </c>
      <c r="S20">
        <v>63.9</v>
      </c>
      <c r="T20">
        <v>65.5</v>
      </c>
      <c r="U20">
        <v>0</v>
      </c>
      <c r="W20" t="s">
        <v>28</v>
      </c>
      <c r="X20">
        <f>IF(Merge1[[#This Row],[qc_status]]="PASS",1,0)</f>
        <v>1</v>
      </c>
      <c r="Y20" t="s">
        <v>80</v>
      </c>
    </row>
    <row r="21" spans="1:26" x14ac:dyDescent="0.35">
      <c r="A21" t="s">
        <v>81</v>
      </c>
      <c r="B21">
        <v>44958</v>
      </c>
      <c r="C21" t="s">
        <v>42</v>
      </c>
      <c r="D21" t="s">
        <v>1246</v>
      </c>
      <c r="E21" t="s">
        <v>1247</v>
      </c>
      <c r="F21" t="s">
        <v>37</v>
      </c>
      <c r="G21" t="s">
        <v>32</v>
      </c>
      <c r="H21" t="s">
        <v>44</v>
      </c>
      <c r="I21" t="s">
        <v>1255</v>
      </c>
      <c r="J21" t="s">
        <v>27</v>
      </c>
      <c r="K21">
        <v>917.5</v>
      </c>
      <c r="L21">
        <v>3783.1</v>
      </c>
      <c r="M21">
        <v>659.7</v>
      </c>
      <c r="N21">
        <v>677.6</v>
      </c>
      <c r="O21">
        <v>17.899999999999999</v>
      </c>
      <c r="P21">
        <v>2.7099999999999999E-2</v>
      </c>
      <c r="Q21">
        <v>17.899999999999999</v>
      </c>
      <c r="R21">
        <v>23.69</v>
      </c>
      <c r="S21" s="60">
        <v>60.2</v>
      </c>
      <c r="T21" s="60">
        <v>59.7</v>
      </c>
      <c r="U21">
        <v>5</v>
      </c>
      <c r="V21" t="s">
        <v>70</v>
      </c>
      <c r="W21" t="s">
        <v>28</v>
      </c>
      <c r="X21">
        <f>IF(Merge1[[#This Row],[qc_status]]="PASS",1,0)</f>
        <v>1</v>
      </c>
      <c r="Y21" t="s">
        <v>82</v>
      </c>
      <c r="Z21" t="s">
        <v>40</v>
      </c>
    </row>
    <row r="22" spans="1:26" x14ac:dyDescent="0.35">
      <c r="A22" t="s">
        <v>83</v>
      </c>
      <c r="B22">
        <v>44960</v>
      </c>
      <c r="C22" t="s">
        <v>51</v>
      </c>
      <c r="D22" t="s">
        <v>1244</v>
      </c>
      <c r="E22" t="s">
        <v>1242</v>
      </c>
      <c r="F22" t="s">
        <v>54</v>
      </c>
      <c r="G22" t="s">
        <v>25</v>
      </c>
      <c r="H22" t="s">
        <v>59</v>
      </c>
      <c r="I22" t="s">
        <v>1257</v>
      </c>
      <c r="J22" t="s">
        <v>27</v>
      </c>
      <c r="K22">
        <v>995.2</v>
      </c>
      <c r="L22">
        <v>4670.3</v>
      </c>
      <c r="M22">
        <v>600.9</v>
      </c>
      <c r="N22">
        <v>597.70000000000005</v>
      </c>
      <c r="O22">
        <v>-3.2</v>
      </c>
      <c r="P22">
        <v>-5.3E-3</v>
      </c>
      <c r="Q22">
        <v>8.1999999999999993</v>
      </c>
      <c r="R22">
        <v>8.7899999999999991</v>
      </c>
      <c r="S22" s="60">
        <v>62.3</v>
      </c>
      <c r="T22" s="60">
        <v>61.6</v>
      </c>
      <c r="U22">
        <v>0</v>
      </c>
      <c r="W22" t="s">
        <v>28</v>
      </c>
      <c r="X22">
        <f>IF(Merge1[[#This Row],[qc_status]]="PASS",1,0)</f>
        <v>1</v>
      </c>
      <c r="Y22" t="s">
        <v>84</v>
      </c>
    </row>
    <row r="23" spans="1:26" x14ac:dyDescent="0.35">
      <c r="A23" t="s">
        <v>85</v>
      </c>
      <c r="B23">
        <v>44961</v>
      </c>
      <c r="C23" t="s">
        <v>31</v>
      </c>
      <c r="D23" t="s">
        <v>1241</v>
      </c>
      <c r="E23" t="s">
        <v>1242</v>
      </c>
      <c r="F23" t="s">
        <v>37</v>
      </c>
      <c r="G23" t="s">
        <v>32</v>
      </c>
      <c r="H23" t="s">
        <v>26</v>
      </c>
      <c r="I23" t="s">
        <v>1260</v>
      </c>
      <c r="J23" t="s">
        <v>27</v>
      </c>
      <c r="K23">
        <v>908.1</v>
      </c>
      <c r="L23">
        <v>4192.8999999999996</v>
      </c>
      <c r="M23">
        <v>532.20000000000005</v>
      </c>
      <c r="N23">
        <v>526.70000000000005</v>
      </c>
      <c r="O23">
        <v>-5.5</v>
      </c>
      <c r="P23">
        <v>-1.03E-2</v>
      </c>
      <c r="Q23">
        <v>7.3</v>
      </c>
      <c r="R23">
        <v>8.8800000000000008</v>
      </c>
      <c r="S23" s="60">
        <v>66.7</v>
      </c>
      <c r="T23" s="60">
        <v>66.400000000000006</v>
      </c>
      <c r="U23">
        <v>3</v>
      </c>
      <c r="V23" t="s">
        <v>86</v>
      </c>
      <c r="W23" t="s">
        <v>28</v>
      </c>
      <c r="X23">
        <f>IF(Merge1[[#This Row],[qc_status]]="PASS",1,0)</f>
        <v>1</v>
      </c>
      <c r="Y23" t="s">
        <v>87</v>
      </c>
      <c r="Z23" t="s">
        <v>40</v>
      </c>
    </row>
    <row r="24" spans="1:26" hidden="1" x14ac:dyDescent="0.35">
      <c r="A24" t="s">
        <v>88</v>
      </c>
      <c r="B24">
        <v>44962</v>
      </c>
      <c r="C24" t="s">
        <v>42</v>
      </c>
      <c r="D24" t="s">
        <v>1246</v>
      </c>
      <c r="E24" t="s">
        <v>1247</v>
      </c>
      <c r="F24" t="s">
        <v>54</v>
      </c>
      <c r="G24" t="s">
        <v>89</v>
      </c>
      <c r="H24" t="s">
        <v>59</v>
      </c>
      <c r="I24" t="s">
        <v>1257</v>
      </c>
      <c r="J24" t="s">
        <v>34</v>
      </c>
      <c r="K24">
        <v>826.6</v>
      </c>
      <c r="L24">
        <v>4430.3</v>
      </c>
      <c r="M24">
        <v>490.7</v>
      </c>
      <c r="N24">
        <v>515.5</v>
      </c>
      <c r="O24">
        <v>24.8</v>
      </c>
      <c r="P24">
        <v>5.0500000000000003E-2</v>
      </c>
      <c r="Q24">
        <v>13.2</v>
      </c>
      <c r="R24">
        <v>15.4</v>
      </c>
      <c r="S24">
        <v>62.8</v>
      </c>
      <c r="T24">
        <v>63.7</v>
      </c>
      <c r="U24">
        <v>2</v>
      </c>
      <c r="W24" t="s">
        <v>28</v>
      </c>
      <c r="X24">
        <f>IF(Merge1[[#This Row],[qc_status]]="PASS",1,0)</f>
        <v>1</v>
      </c>
      <c r="Y24" t="s">
        <v>90</v>
      </c>
    </row>
    <row r="25" spans="1:26" hidden="1" x14ac:dyDescent="0.35">
      <c r="A25" t="s">
        <v>91</v>
      </c>
      <c r="B25">
        <v>44962</v>
      </c>
      <c r="C25" t="s">
        <v>31</v>
      </c>
      <c r="D25" t="s">
        <v>1241</v>
      </c>
      <c r="E25" t="s">
        <v>1242</v>
      </c>
      <c r="F25" t="s">
        <v>92</v>
      </c>
      <c r="G25" t="s">
        <v>43</v>
      </c>
      <c r="H25" t="s">
        <v>44</v>
      </c>
      <c r="I25" t="s">
        <v>1255</v>
      </c>
      <c r="J25" t="s">
        <v>34</v>
      </c>
      <c r="K25">
        <v>534.29999999999995</v>
      </c>
      <c r="L25">
        <v>1891.6</v>
      </c>
      <c r="M25">
        <v>379.2</v>
      </c>
      <c r="N25">
        <v>384.6</v>
      </c>
      <c r="O25">
        <v>5.4</v>
      </c>
      <c r="P25">
        <v>1.4200000000000001E-2</v>
      </c>
      <c r="Q25">
        <v>5.6</v>
      </c>
      <c r="R25">
        <v>7.14</v>
      </c>
      <c r="S25">
        <v>64.5</v>
      </c>
      <c r="T25">
        <v>65.400000000000006</v>
      </c>
      <c r="U25">
        <v>1</v>
      </c>
      <c r="W25" t="s">
        <v>28</v>
      </c>
      <c r="X25">
        <f>IF(Merge1[[#This Row],[qc_status]]="PASS",1,0)</f>
        <v>1</v>
      </c>
      <c r="Y25" t="s">
        <v>93</v>
      </c>
    </row>
    <row r="26" spans="1:26" hidden="1" x14ac:dyDescent="0.35">
      <c r="A26" t="s">
        <v>94</v>
      </c>
      <c r="B26">
        <v>44963</v>
      </c>
      <c r="C26" t="s">
        <v>42</v>
      </c>
      <c r="D26" t="s">
        <v>1246</v>
      </c>
      <c r="E26" t="s">
        <v>1247</v>
      </c>
      <c r="F26" t="s">
        <v>75</v>
      </c>
      <c r="G26" t="s">
        <v>25</v>
      </c>
      <c r="H26" t="s">
        <v>59</v>
      </c>
      <c r="I26" t="s">
        <v>1257</v>
      </c>
      <c r="J26" t="s">
        <v>34</v>
      </c>
      <c r="K26">
        <v>506.1</v>
      </c>
      <c r="L26">
        <v>1927.8</v>
      </c>
      <c r="M26">
        <v>345.5</v>
      </c>
      <c r="N26">
        <v>353.3</v>
      </c>
      <c r="O26">
        <v>7.8</v>
      </c>
      <c r="P26">
        <v>2.2599999999999999E-2</v>
      </c>
      <c r="Q26">
        <v>17.399999999999999</v>
      </c>
      <c r="R26">
        <v>17.5</v>
      </c>
      <c r="S26">
        <v>66.7</v>
      </c>
      <c r="T26">
        <v>65.2</v>
      </c>
      <c r="U26">
        <v>0</v>
      </c>
      <c r="W26" t="s">
        <v>28</v>
      </c>
      <c r="X26">
        <f>IF(Merge1[[#This Row],[qc_status]]="PASS",1,0)</f>
        <v>1</v>
      </c>
      <c r="Y26" t="s">
        <v>95</v>
      </c>
    </row>
    <row r="27" spans="1:26" hidden="1" x14ac:dyDescent="0.35">
      <c r="A27" t="s">
        <v>96</v>
      </c>
      <c r="B27">
        <v>44963</v>
      </c>
      <c r="C27" t="s">
        <v>97</v>
      </c>
      <c r="D27" t="s">
        <v>1238</v>
      </c>
      <c r="E27" t="s">
        <v>1239</v>
      </c>
      <c r="F27" t="s">
        <v>37</v>
      </c>
      <c r="G27" t="s">
        <v>32</v>
      </c>
      <c r="H27" t="s">
        <v>44</v>
      </c>
      <c r="I27" t="s">
        <v>1255</v>
      </c>
      <c r="J27" t="s">
        <v>34</v>
      </c>
      <c r="K27">
        <v>913.9</v>
      </c>
      <c r="L27">
        <v>4189.8</v>
      </c>
      <c r="M27">
        <v>544.5</v>
      </c>
      <c r="N27">
        <v>574</v>
      </c>
      <c r="O27">
        <v>29.5</v>
      </c>
      <c r="P27">
        <v>5.4199999999999998E-2</v>
      </c>
      <c r="Q27">
        <v>12.8</v>
      </c>
      <c r="R27">
        <v>14.86</v>
      </c>
      <c r="S27">
        <v>61.6</v>
      </c>
      <c r="T27">
        <v>59.3</v>
      </c>
      <c r="U27">
        <v>0</v>
      </c>
      <c r="W27" t="s">
        <v>38</v>
      </c>
      <c r="X27">
        <f>IF(Merge1[[#This Row],[qc_status]]="PASS",1,0)</f>
        <v>0</v>
      </c>
      <c r="Y27" t="s">
        <v>98</v>
      </c>
      <c r="Z27" t="s">
        <v>61</v>
      </c>
    </row>
    <row r="28" spans="1:26" hidden="1" x14ac:dyDescent="0.35">
      <c r="A28" t="s">
        <v>99</v>
      </c>
      <c r="B28">
        <v>44964</v>
      </c>
      <c r="C28" t="s">
        <v>97</v>
      </c>
      <c r="D28" t="s">
        <v>1238</v>
      </c>
      <c r="E28" t="s">
        <v>1239</v>
      </c>
      <c r="F28" t="s">
        <v>54</v>
      </c>
      <c r="G28" t="s">
        <v>48</v>
      </c>
      <c r="H28" t="s">
        <v>26</v>
      </c>
      <c r="I28" t="s">
        <v>1260</v>
      </c>
      <c r="J28" t="s">
        <v>34</v>
      </c>
      <c r="K28">
        <v>796.6</v>
      </c>
      <c r="L28">
        <v>2942.7</v>
      </c>
      <c r="M28">
        <v>523.20000000000005</v>
      </c>
      <c r="N28">
        <v>550.29999999999995</v>
      </c>
      <c r="O28">
        <v>27.1</v>
      </c>
      <c r="P28">
        <v>5.1799999999999999E-2</v>
      </c>
      <c r="Q28">
        <v>8.4</v>
      </c>
      <c r="R28">
        <v>11.38</v>
      </c>
      <c r="S28">
        <v>66.599999999999994</v>
      </c>
      <c r="T28">
        <v>65</v>
      </c>
      <c r="U28">
        <v>3</v>
      </c>
      <c r="V28" t="s">
        <v>100</v>
      </c>
      <c r="W28" t="s">
        <v>28</v>
      </c>
      <c r="X28">
        <f>IF(Merge1[[#This Row],[qc_status]]="PASS",1,0)</f>
        <v>1</v>
      </c>
      <c r="Y28" t="s">
        <v>101</v>
      </c>
      <c r="Z28" t="s">
        <v>40</v>
      </c>
    </row>
    <row r="29" spans="1:26" hidden="1" x14ac:dyDescent="0.35">
      <c r="A29" t="s">
        <v>102</v>
      </c>
      <c r="B29">
        <v>44964</v>
      </c>
      <c r="C29" t="s">
        <v>23</v>
      </c>
      <c r="D29" t="s">
        <v>1235</v>
      </c>
      <c r="E29" t="s">
        <v>1236</v>
      </c>
      <c r="F29" t="s">
        <v>24</v>
      </c>
      <c r="G29" t="s">
        <v>43</v>
      </c>
      <c r="H29" t="s">
        <v>33</v>
      </c>
      <c r="I29" t="s">
        <v>1258</v>
      </c>
      <c r="J29" t="s">
        <v>34</v>
      </c>
      <c r="K29">
        <v>1095.5</v>
      </c>
      <c r="L29">
        <v>5859.4</v>
      </c>
      <c r="M29">
        <v>754.1</v>
      </c>
      <c r="N29">
        <v>772.8</v>
      </c>
      <c r="O29">
        <v>18.7</v>
      </c>
      <c r="P29">
        <v>2.4799999999999999E-2</v>
      </c>
      <c r="Q29">
        <v>8.4</v>
      </c>
      <c r="R29">
        <v>9.9499999999999993</v>
      </c>
      <c r="S29">
        <v>67.2</v>
      </c>
      <c r="T29">
        <v>68.8</v>
      </c>
      <c r="U29">
        <v>0</v>
      </c>
      <c r="W29" t="s">
        <v>38</v>
      </c>
      <c r="X29">
        <f>IF(Merge1[[#This Row],[qc_status]]="PASS",1,0)</f>
        <v>0</v>
      </c>
      <c r="Y29" t="s">
        <v>103</v>
      </c>
    </row>
    <row r="30" spans="1:26" hidden="1" x14ac:dyDescent="0.35">
      <c r="A30" t="s">
        <v>102</v>
      </c>
      <c r="B30">
        <v>44964</v>
      </c>
      <c r="C30" t="s">
        <v>23</v>
      </c>
      <c r="D30" t="s">
        <v>1235</v>
      </c>
      <c r="E30" t="s">
        <v>1236</v>
      </c>
      <c r="F30" t="s">
        <v>24</v>
      </c>
      <c r="G30" t="s">
        <v>43</v>
      </c>
      <c r="H30" t="s">
        <v>33</v>
      </c>
      <c r="I30" t="s">
        <v>1258</v>
      </c>
      <c r="J30" t="s">
        <v>34</v>
      </c>
      <c r="K30">
        <v>1095.5</v>
      </c>
      <c r="L30">
        <v>5859.4</v>
      </c>
      <c r="M30">
        <v>754.1</v>
      </c>
      <c r="N30">
        <v>772.8</v>
      </c>
      <c r="O30">
        <v>18.7</v>
      </c>
      <c r="P30">
        <v>2.4799999999999999E-2</v>
      </c>
      <c r="Q30">
        <v>8.4</v>
      </c>
      <c r="R30">
        <v>9.9499999999999993</v>
      </c>
      <c r="S30">
        <v>67.2</v>
      </c>
      <c r="T30">
        <v>68.8</v>
      </c>
      <c r="U30">
        <v>0</v>
      </c>
      <c r="W30" t="s">
        <v>38</v>
      </c>
      <c r="X30">
        <f>IF(Merge1[[#This Row],[qc_status]]="PASS",1,0)</f>
        <v>0</v>
      </c>
      <c r="Y30" t="s">
        <v>103</v>
      </c>
    </row>
    <row r="31" spans="1:26" hidden="1" x14ac:dyDescent="0.35">
      <c r="A31" t="s">
        <v>104</v>
      </c>
      <c r="B31">
        <v>44965</v>
      </c>
      <c r="C31" t="s">
        <v>23</v>
      </c>
      <c r="D31" t="s">
        <v>1235</v>
      </c>
      <c r="E31" t="s">
        <v>1236</v>
      </c>
      <c r="F31" t="s">
        <v>24</v>
      </c>
      <c r="G31" t="s">
        <v>105</v>
      </c>
      <c r="H31" t="s">
        <v>59</v>
      </c>
      <c r="I31" t="s">
        <v>1257</v>
      </c>
      <c r="J31" t="s">
        <v>34</v>
      </c>
      <c r="K31">
        <v>1023.4</v>
      </c>
      <c r="L31">
        <v>3938.3</v>
      </c>
      <c r="M31">
        <v>629.9</v>
      </c>
      <c r="N31">
        <v>549.6</v>
      </c>
      <c r="O31">
        <v>-80.3</v>
      </c>
      <c r="P31">
        <v>-0.1275</v>
      </c>
      <c r="Q31">
        <v>6.7</v>
      </c>
      <c r="R31">
        <v>7.22</v>
      </c>
      <c r="S31">
        <v>69.2</v>
      </c>
      <c r="T31">
        <v>68.5</v>
      </c>
      <c r="U31">
        <v>5</v>
      </c>
      <c r="V31" t="s">
        <v>100</v>
      </c>
      <c r="W31" t="s">
        <v>38</v>
      </c>
      <c r="X31">
        <f>IF(Merge1[[#This Row],[qc_status]]="PASS",1,0)</f>
        <v>0</v>
      </c>
      <c r="Y31" t="s">
        <v>106</v>
      </c>
      <c r="Z31" t="s">
        <v>66</v>
      </c>
    </row>
    <row r="32" spans="1:26" hidden="1" x14ac:dyDescent="0.35">
      <c r="A32" t="s">
        <v>104</v>
      </c>
      <c r="B32">
        <v>44965</v>
      </c>
      <c r="C32" t="s">
        <v>23</v>
      </c>
      <c r="D32" t="s">
        <v>1235</v>
      </c>
      <c r="E32" t="s">
        <v>1236</v>
      </c>
      <c r="F32" t="s">
        <v>24</v>
      </c>
      <c r="G32" t="s">
        <v>105</v>
      </c>
      <c r="H32" t="s">
        <v>59</v>
      </c>
      <c r="I32" t="s">
        <v>1257</v>
      </c>
      <c r="J32" t="s">
        <v>34</v>
      </c>
      <c r="K32">
        <v>1023.4</v>
      </c>
      <c r="L32">
        <v>3938.3</v>
      </c>
      <c r="M32">
        <v>629.9</v>
      </c>
      <c r="N32">
        <v>549.6</v>
      </c>
      <c r="O32">
        <v>-80.3</v>
      </c>
      <c r="P32">
        <v>-0.1275</v>
      </c>
      <c r="Q32">
        <v>6.7</v>
      </c>
      <c r="R32">
        <v>7.22</v>
      </c>
      <c r="S32">
        <v>69.2</v>
      </c>
      <c r="T32">
        <v>68.5</v>
      </c>
      <c r="U32">
        <v>5</v>
      </c>
      <c r="V32" t="s">
        <v>100</v>
      </c>
      <c r="W32" t="s">
        <v>38</v>
      </c>
      <c r="X32">
        <f>IF(Merge1[[#This Row],[qc_status]]="PASS",1,0)</f>
        <v>0</v>
      </c>
      <c r="Y32" t="s">
        <v>106</v>
      </c>
      <c r="Z32" t="s">
        <v>66</v>
      </c>
    </row>
    <row r="33" spans="1:26" x14ac:dyDescent="0.35">
      <c r="A33" t="s">
        <v>107</v>
      </c>
      <c r="B33">
        <v>44965</v>
      </c>
      <c r="C33" t="s">
        <v>42</v>
      </c>
      <c r="D33" t="s">
        <v>1246</v>
      </c>
      <c r="E33" t="s">
        <v>1247</v>
      </c>
      <c r="F33" t="s">
        <v>75</v>
      </c>
      <c r="G33" t="s">
        <v>48</v>
      </c>
      <c r="H33" t="s">
        <v>33</v>
      </c>
      <c r="I33" t="s">
        <v>1258</v>
      </c>
      <c r="J33" t="s">
        <v>27</v>
      </c>
      <c r="K33">
        <v>627.4</v>
      </c>
      <c r="L33">
        <v>2548.1999999999998</v>
      </c>
      <c r="M33">
        <v>347.2</v>
      </c>
      <c r="N33">
        <v>349.3</v>
      </c>
      <c r="O33">
        <v>2.1</v>
      </c>
      <c r="P33">
        <v>6.0000000000000001E-3</v>
      </c>
      <c r="Q33">
        <v>14.8</v>
      </c>
      <c r="R33">
        <v>18.670000000000002</v>
      </c>
      <c r="S33" s="60">
        <v>61.5</v>
      </c>
      <c r="T33" s="60">
        <v>61.3</v>
      </c>
      <c r="U33">
        <v>0.5</v>
      </c>
      <c r="V33" t="s">
        <v>70</v>
      </c>
      <c r="W33" t="s">
        <v>28</v>
      </c>
      <c r="X33">
        <f>IF(Merge1[[#This Row],[qc_status]]="PASS",1,0)</f>
        <v>1</v>
      </c>
      <c r="Y33" t="s">
        <v>108</v>
      </c>
    </row>
    <row r="34" spans="1:26" x14ac:dyDescent="0.35">
      <c r="A34" t="s">
        <v>109</v>
      </c>
      <c r="B34">
        <v>44967</v>
      </c>
      <c r="C34" t="s">
        <v>31</v>
      </c>
      <c r="D34" t="s">
        <v>1241</v>
      </c>
      <c r="E34" t="s">
        <v>1242</v>
      </c>
      <c r="F34" t="s">
        <v>54</v>
      </c>
      <c r="G34" t="s">
        <v>43</v>
      </c>
      <c r="H34" t="s">
        <v>55</v>
      </c>
      <c r="I34" t="s">
        <v>1253</v>
      </c>
      <c r="J34" t="s">
        <v>27</v>
      </c>
      <c r="K34">
        <v>1040.9000000000001</v>
      </c>
      <c r="L34">
        <v>5631.5</v>
      </c>
      <c r="M34">
        <v>699</v>
      </c>
      <c r="N34">
        <v>709.3</v>
      </c>
      <c r="O34">
        <v>10.3</v>
      </c>
      <c r="P34">
        <v>1.47E-2</v>
      </c>
      <c r="Q34">
        <v>11.6</v>
      </c>
      <c r="R34">
        <v>10.68</v>
      </c>
      <c r="S34" s="60">
        <v>61.9</v>
      </c>
      <c r="T34" s="60">
        <v>60.7</v>
      </c>
      <c r="U34">
        <v>0</v>
      </c>
      <c r="W34" t="s">
        <v>28</v>
      </c>
      <c r="X34">
        <f>IF(Merge1[[#This Row],[qc_status]]="PASS",1,0)</f>
        <v>1</v>
      </c>
      <c r="Y34" t="s">
        <v>110</v>
      </c>
    </row>
    <row r="35" spans="1:26" hidden="1" x14ac:dyDescent="0.35">
      <c r="A35" t="s">
        <v>111</v>
      </c>
      <c r="B35">
        <v>44968</v>
      </c>
      <c r="C35" t="s">
        <v>42</v>
      </c>
      <c r="D35" t="s">
        <v>1246</v>
      </c>
      <c r="E35" t="s">
        <v>1247</v>
      </c>
      <c r="F35" t="s">
        <v>92</v>
      </c>
      <c r="G35" t="s">
        <v>89</v>
      </c>
      <c r="H35" t="s">
        <v>33</v>
      </c>
      <c r="I35" t="s">
        <v>1258</v>
      </c>
      <c r="J35" t="s">
        <v>34</v>
      </c>
      <c r="K35">
        <v>782.8</v>
      </c>
      <c r="L35">
        <v>3072.6</v>
      </c>
      <c r="M35">
        <v>558.29999999999995</v>
      </c>
      <c r="N35">
        <v>565.29999999999995</v>
      </c>
      <c r="O35">
        <v>7</v>
      </c>
      <c r="P35">
        <v>1.2500000000000001E-2</v>
      </c>
      <c r="Q35">
        <v>6.3</v>
      </c>
      <c r="R35">
        <v>7.65</v>
      </c>
      <c r="S35">
        <v>66.7</v>
      </c>
      <c r="T35">
        <v>67.3</v>
      </c>
      <c r="U35">
        <v>0</v>
      </c>
      <c r="W35" t="s">
        <v>28</v>
      </c>
      <c r="X35">
        <f>IF(Merge1[[#This Row],[qc_status]]="PASS",1,0)</f>
        <v>1</v>
      </c>
      <c r="Y35" t="s">
        <v>112</v>
      </c>
    </row>
    <row r="36" spans="1:26" x14ac:dyDescent="0.35">
      <c r="A36" t="s">
        <v>113</v>
      </c>
      <c r="B36">
        <v>44970</v>
      </c>
      <c r="C36" t="s">
        <v>31</v>
      </c>
      <c r="D36" t="s">
        <v>1241</v>
      </c>
      <c r="E36" t="s">
        <v>1242</v>
      </c>
      <c r="F36" t="s">
        <v>54</v>
      </c>
      <c r="G36" t="s">
        <v>105</v>
      </c>
      <c r="H36" t="s">
        <v>59</v>
      </c>
      <c r="I36" t="s">
        <v>1257</v>
      </c>
      <c r="J36" t="s">
        <v>27</v>
      </c>
      <c r="K36">
        <v>459.3</v>
      </c>
      <c r="L36">
        <v>2264.8000000000002</v>
      </c>
      <c r="M36">
        <v>326.60000000000002</v>
      </c>
      <c r="N36">
        <v>333.4</v>
      </c>
      <c r="O36">
        <v>6.8</v>
      </c>
      <c r="P36">
        <v>2.0799999999999999E-2</v>
      </c>
      <c r="Q36">
        <v>15.9</v>
      </c>
      <c r="R36">
        <v>19.28</v>
      </c>
      <c r="S36" s="60">
        <v>69.099999999999994</v>
      </c>
      <c r="T36" s="60">
        <v>69</v>
      </c>
      <c r="U36">
        <v>0</v>
      </c>
      <c r="W36" t="s">
        <v>28</v>
      </c>
      <c r="X36">
        <f>IF(Merge1[[#This Row],[qc_status]]="PASS",1,0)</f>
        <v>1</v>
      </c>
      <c r="Y36" t="s">
        <v>114</v>
      </c>
    </row>
    <row r="37" spans="1:26" x14ac:dyDescent="0.35">
      <c r="A37" t="s">
        <v>115</v>
      </c>
      <c r="B37">
        <v>44972</v>
      </c>
      <c r="C37" t="s">
        <v>42</v>
      </c>
      <c r="D37" t="s">
        <v>1246</v>
      </c>
      <c r="E37" t="s">
        <v>1247</v>
      </c>
      <c r="F37" t="s">
        <v>24</v>
      </c>
      <c r="G37" t="s">
        <v>48</v>
      </c>
      <c r="H37" t="s">
        <v>55</v>
      </c>
      <c r="I37" t="s">
        <v>1253</v>
      </c>
      <c r="J37" t="s">
        <v>27</v>
      </c>
      <c r="K37">
        <v>638.20000000000005</v>
      </c>
      <c r="L37">
        <v>2661</v>
      </c>
      <c r="M37">
        <v>355.7</v>
      </c>
      <c r="N37">
        <v>353</v>
      </c>
      <c r="O37">
        <v>-2.7</v>
      </c>
      <c r="P37">
        <v>-7.6E-3</v>
      </c>
      <c r="Q37">
        <v>11.6</v>
      </c>
      <c r="R37">
        <v>11.71</v>
      </c>
      <c r="S37" s="60">
        <v>63.5</v>
      </c>
      <c r="T37" s="60">
        <v>61.2</v>
      </c>
      <c r="U37">
        <v>0</v>
      </c>
      <c r="W37" t="s">
        <v>28</v>
      </c>
      <c r="X37">
        <f>IF(Merge1[[#This Row],[qc_status]]="PASS",1,0)</f>
        <v>1</v>
      </c>
      <c r="Y37" t="s">
        <v>116</v>
      </c>
      <c r="Z37" t="s">
        <v>61</v>
      </c>
    </row>
    <row r="38" spans="1:26" hidden="1" x14ac:dyDescent="0.35">
      <c r="A38" t="s">
        <v>117</v>
      </c>
      <c r="B38">
        <v>44973</v>
      </c>
      <c r="C38" t="s">
        <v>31</v>
      </c>
      <c r="D38" t="s">
        <v>1241</v>
      </c>
      <c r="E38" t="s">
        <v>1242</v>
      </c>
      <c r="F38" t="s">
        <v>24</v>
      </c>
      <c r="G38" t="s">
        <v>25</v>
      </c>
      <c r="H38" t="s">
        <v>26</v>
      </c>
      <c r="I38" t="s">
        <v>1260</v>
      </c>
      <c r="J38" t="s">
        <v>34</v>
      </c>
      <c r="K38">
        <v>907.1</v>
      </c>
      <c r="L38">
        <v>4447.5</v>
      </c>
      <c r="M38">
        <v>615.1</v>
      </c>
      <c r="N38">
        <v>644.5</v>
      </c>
      <c r="O38">
        <v>29.4</v>
      </c>
      <c r="P38">
        <v>4.7800000000000002E-2</v>
      </c>
      <c r="Q38">
        <v>11.4</v>
      </c>
      <c r="R38">
        <v>13.24</v>
      </c>
      <c r="S38">
        <v>64.5</v>
      </c>
      <c r="T38">
        <v>65.900000000000006</v>
      </c>
      <c r="U38">
        <v>0</v>
      </c>
      <c r="W38" t="s">
        <v>28</v>
      </c>
      <c r="X38">
        <f>IF(Merge1[[#This Row],[qc_status]]="PASS",1,0)</f>
        <v>1</v>
      </c>
      <c r="Y38" t="s">
        <v>118</v>
      </c>
    </row>
    <row r="39" spans="1:26" x14ac:dyDescent="0.35">
      <c r="A39" t="s">
        <v>119</v>
      </c>
      <c r="B39">
        <v>44975</v>
      </c>
      <c r="C39" t="s">
        <v>97</v>
      </c>
      <c r="D39" t="s">
        <v>1238</v>
      </c>
      <c r="E39" t="s">
        <v>1239</v>
      </c>
      <c r="F39" t="s">
        <v>54</v>
      </c>
      <c r="G39" t="s">
        <v>32</v>
      </c>
      <c r="H39" t="s">
        <v>55</v>
      </c>
      <c r="I39" t="s">
        <v>1253</v>
      </c>
      <c r="J39" t="s">
        <v>27</v>
      </c>
      <c r="K39">
        <v>632.1</v>
      </c>
      <c r="L39">
        <v>3154.4</v>
      </c>
      <c r="M39">
        <v>420.3</v>
      </c>
      <c r="N39">
        <v>424.6</v>
      </c>
      <c r="O39">
        <v>4.3</v>
      </c>
      <c r="P39">
        <v>1.0200000000000001E-2</v>
      </c>
      <c r="Q39">
        <v>10.7</v>
      </c>
      <c r="R39">
        <v>11.82</v>
      </c>
      <c r="S39" s="60">
        <v>69.5</v>
      </c>
      <c r="T39" s="60">
        <v>67.099999999999994</v>
      </c>
      <c r="U39">
        <v>1</v>
      </c>
      <c r="V39" t="s">
        <v>100</v>
      </c>
      <c r="W39" t="s">
        <v>28</v>
      </c>
      <c r="X39">
        <f>IF(Merge1[[#This Row],[qc_status]]="PASS",1,0)</f>
        <v>1</v>
      </c>
      <c r="Y39" t="s">
        <v>1316</v>
      </c>
      <c r="Z39" t="s">
        <v>61</v>
      </c>
    </row>
    <row r="40" spans="1:26" hidden="1" x14ac:dyDescent="0.35">
      <c r="A40" t="s">
        <v>121</v>
      </c>
      <c r="B40">
        <v>44975</v>
      </c>
      <c r="C40" t="s">
        <v>97</v>
      </c>
      <c r="D40" t="s">
        <v>1238</v>
      </c>
      <c r="E40" t="s">
        <v>1239</v>
      </c>
      <c r="F40" t="s">
        <v>92</v>
      </c>
      <c r="G40" t="s">
        <v>48</v>
      </c>
      <c r="H40" t="s">
        <v>44</v>
      </c>
      <c r="I40" t="s">
        <v>1255</v>
      </c>
      <c r="J40" t="s">
        <v>34</v>
      </c>
      <c r="K40">
        <v>692.1</v>
      </c>
      <c r="L40">
        <v>2999.5</v>
      </c>
      <c r="M40">
        <v>477.8</v>
      </c>
      <c r="N40">
        <v>490</v>
      </c>
      <c r="O40">
        <v>12.2</v>
      </c>
      <c r="P40">
        <v>2.5499999999999998E-2</v>
      </c>
      <c r="Q40">
        <v>15.7</v>
      </c>
      <c r="R40">
        <v>13.82</v>
      </c>
      <c r="S40">
        <v>60.2</v>
      </c>
      <c r="T40">
        <v>59.1</v>
      </c>
      <c r="U40">
        <v>3</v>
      </c>
      <c r="V40" t="s">
        <v>100</v>
      </c>
      <c r="W40" t="s">
        <v>28</v>
      </c>
      <c r="X40">
        <f>IF(Merge1[[#This Row],[qc_status]]="PASS",1,0)</f>
        <v>1</v>
      </c>
      <c r="Y40" t="s">
        <v>122</v>
      </c>
      <c r="Z40" t="s">
        <v>40</v>
      </c>
    </row>
    <row r="41" spans="1:26" x14ac:dyDescent="0.35">
      <c r="A41" t="s">
        <v>123</v>
      </c>
      <c r="B41">
        <v>44976</v>
      </c>
      <c r="C41" t="s">
        <v>23</v>
      </c>
      <c r="D41" t="s">
        <v>1235</v>
      </c>
      <c r="E41" t="s">
        <v>1236</v>
      </c>
      <c r="F41" t="s">
        <v>75</v>
      </c>
      <c r="G41" t="s">
        <v>48</v>
      </c>
      <c r="H41" t="s">
        <v>44</v>
      </c>
      <c r="I41" t="s">
        <v>1255</v>
      </c>
      <c r="J41" t="s">
        <v>27</v>
      </c>
      <c r="K41">
        <v>727.9</v>
      </c>
      <c r="L41">
        <v>3893</v>
      </c>
      <c r="M41">
        <v>509.3</v>
      </c>
      <c r="N41">
        <v>511.8</v>
      </c>
      <c r="O41">
        <v>2.5</v>
      </c>
      <c r="P41">
        <v>4.8999999999999998E-3</v>
      </c>
      <c r="Q41">
        <v>7.3</v>
      </c>
      <c r="R41">
        <v>6.97</v>
      </c>
      <c r="S41" s="60">
        <v>68.599999999999994</v>
      </c>
      <c r="T41" s="60">
        <v>67.900000000000006</v>
      </c>
      <c r="U41">
        <v>3</v>
      </c>
      <c r="V41" t="s">
        <v>45</v>
      </c>
      <c r="W41" t="s">
        <v>38</v>
      </c>
      <c r="X41">
        <f>IF(Merge1[[#This Row],[qc_status]]="PASS",1,0)</f>
        <v>0</v>
      </c>
      <c r="Y41" t="s">
        <v>124</v>
      </c>
      <c r="Z41" t="s">
        <v>40</v>
      </c>
    </row>
    <row r="42" spans="1:26" x14ac:dyDescent="0.35">
      <c r="A42" t="s">
        <v>123</v>
      </c>
      <c r="B42">
        <v>44976</v>
      </c>
      <c r="C42" t="s">
        <v>23</v>
      </c>
      <c r="D42" t="s">
        <v>1235</v>
      </c>
      <c r="E42" t="s">
        <v>1236</v>
      </c>
      <c r="F42" t="s">
        <v>75</v>
      </c>
      <c r="G42" t="s">
        <v>48</v>
      </c>
      <c r="H42" t="s">
        <v>44</v>
      </c>
      <c r="I42" t="s">
        <v>1255</v>
      </c>
      <c r="J42" t="s">
        <v>27</v>
      </c>
      <c r="K42">
        <v>727.9</v>
      </c>
      <c r="L42">
        <v>3893</v>
      </c>
      <c r="M42">
        <v>509.3</v>
      </c>
      <c r="N42">
        <v>511.8</v>
      </c>
      <c r="O42">
        <v>2.5</v>
      </c>
      <c r="P42">
        <v>4.8999999999999998E-3</v>
      </c>
      <c r="Q42">
        <v>7.3</v>
      </c>
      <c r="R42">
        <v>6.97</v>
      </c>
      <c r="S42" s="60">
        <v>68.599999999999994</v>
      </c>
      <c r="T42" s="60">
        <v>67.900000000000006</v>
      </c>
      <c r="U42">
        <v>3</v>
      </c>
      <c r="V42" t="s">
        <v>45</v>
      </c>
      <c r="W42" t="s">
        <v>38</v>
      </c>
      <c r="X42">
        <f>IF(Merge1[[#This Row],[qc_status]]="PASS",1,0)</f>
        <v>0</v>
      </c>
      <c r="Y42" t="s">
        <v>124</v>
      </c>
      <c r="Z42" t="s">
        <v>40</v>
      </c>
    </row>
    <row r="43" spans="1:26" hidden="1" x14ac:dyDescent="0.35">
      <c r="A43" t="s">
        <v>125</v>
      </c>
      <c r="B43">
        <v>44976</v>
      </c>
      <c r="C43" t="s">
        <v>42</v>
      </c>
      <c r="D43" t="s">
        <v>1246</v>
      </c>
      <c r="E43" t="s">
        <v>1247</v>
      </c>
      <c r="F43" t="s">
        <v>92</v>
      </c>
      <c r="G43" t="s">
        <v>89</v>
      </c>
      <c r="H43" t="s">
        <v>55</v>
      </c>
      <c r="I43" t="s">
        <v>1253</v>
      </c>
      <c r="J43" t="s">
        <v>34</v>
      </c>
      <c r="K43">
        <v>581.4</v>
      </c>
      <c r="L43">
        <v>2978.8</v>
      </c>
      <c r="M43">
        <v>351.3</v>
      </c>
      <c r="N43">
        <v>319.10000000000002</v>
      </c>
      <c r="O43">
        <v>-32.200000000000003</v>
      </c>
      <c r="P43">
        <v>-9.1700000000000004E-2</v>
      </c>
      <c r="Q43">
        <v>10</v>
      </c>
      <c r="R43">
        <v>8.0500000000000007</v>
      </c>
      <c r="S43">
        <v>65.2</v>
      </c>
      <c r="T43">
        <v>66.599999999999994</v>
      </c>
      <c r="U43">
        <v>0</v>
      </c>
      <c r="W43" t="s">
        <v>38</v>
      </c>
      <c r="X43">
        <f>IF(Merge1[[#This Row],[qc_status]]="PASS",1,0)</f>
        <v>0</v>
      </c>
      <c r="Y43" t="s">
        <v>126</v>
      </c>
      <c r="Z43" t="s">
        <v>66</v>
      </c>
    </row>
    <row r="44" spans="1:26" x14ac:dyDescent="0.35">
      <c r="A44" t="s">
        <v>127</v>
      </c>
      <c r="B44">
        <v>44976</v>
      </c>
      <c r="C44" t="s">
        <v>42</v>
      </c>
      <c r="D44" t="s">
        <v>1246</v>
      </c>
      <c r="E44" t="s">
        <v>1247</v>
      </c>
      <c r="F44" t="s">
        <v>24</v>
      </c>
      <c r="G44" t="s">
        <v>25</v>
      </c>
      <c r="H44" t="s">
        <v>33</v>
      </c>
      <c r="I44" t="s">
        <v>1258</v>
      </c>
      <c r="J44" t="s">
        <v>27</v>
      </c>
      <c r="K44">
        <v>641</v>
      </c>
      <c r="L44">
        <v>2369.5</v>
      </c>
      <c r="M44">
        <v>447.7</v>
      </c>
      <c r="N44">
        <v>437.5</v>
      </c>
      <c r="O44">
        <v>-10.199999999999999</v>
      </c>
      <c r="P44">
        <v>-2.2800000000000001E-2</v>
      </c>
      <c r="Q44">
        <v>15.5</v>
      </c>
      <c r="R44">
        <v>15.76</v>
      </c>
      <c r="S44" s="60">
        <v>61</v>
      </c>
      <c r="T44" s="60">
        <v>63.4</v>
      </c>
      <c r="U44">
        <v>0</v>
      </c>
      <c r="W44" t="s">
        <v>38</v>
      </c>
      <c r="X44">
        <f>IF(Merge1[[#This Row],[qc_status]]="PASS",1,0)</f>
        <v>0</v>
      </c>
      <c r="Y44" t="s">
        <v>128</v>
      </c>
      <c r="Z44" t="s">
        <v>57</v>
      </c>
    </row>
    <row r="45" spans="1:26" x14ac:dyDescent="0.35">
      <c r="A45" t="s">
        <v>129</v>
      </c>
      <c r="B45">
        <v>44977</v>
      </c>
      <c r="C45" t="s">
        <v>51</v>
      </c>
      <c r="D45" t="s">
        <v>1244</v>
      </c>
      <c r="E45" t="s">
        <v>1242</v>
      </c>
      <c r="F45" t="s">
        <v>24</v>
      </c>
      <c r="G45" t="s">
        <v>89</v>
      </c>
      <c r="H45" t="s">
        <v>33</v>
      </c>
      <c r="I45" t="s">
        <v>1258</v>
      </c>
      <c r="J45" t="s">
        <v>27</v>
      </c>
      <c r="K45">
        <v>497</v>
      </c>
      <c r="L45">
        <v>2226.4</v>
      </c>
      <c r="M45">
        <v>305.5</v>
      </c>
      <c r="N45">
        <v>319.5</v>
      </c>
      <c r="O45">
        <v>14</v>
      </c>
      <c r="P45">
        <v>4.58E-2</v>
      </c>
      <c r="Q45">
        <v>4.8</v>
      </c>
      <c r="R45">
        <v>4.4000000000000004</v>
      </c>
      <c r="S45" s="60">
        <v>68.8</v>
      </c>
      <c r="T45" s="60">
        <v>66.900000000000006</v>
      </c>
      <c r="U45">
        <v>1</v>
      </c>
      <c r="W45" t="s">
        <v>28</v>
      </c>
      <c r="X45">
        <f>IF(Merge1[[#This Row],[qc_status]]="PASS",1,0)</f>
        <v>1</v>
      </c>
      <c r="Y45" t="s">
        <v>130</v>
      </c>
    </row>
    <row r="46" spans="1:26" x14ac:dyDescent="0.35">
      <c r="A46" t="s">
        <v>131</v>
      </c>
      <c r="B46">
        <v>44981</v>
      </c>
      <c r="C46" t="s">
        <v>23</v>
      </c>
      <c r="D46" t="s">
        <v>1235</v>
      </c>
      <c r="E46" t="s">
        <v>1236</v>
      </c>
      <c r="F46" t="s">
        <v>54</v>
      </c>
      <c r="G46" t="s">
        <v>32</v>
      </c>
      <c r="H46" t="s">
        <v>26</v>
      </c>
      <c r="I46" t="s">
        <v>1260</v>
      </c>
      <c r="J46" t="s">
        <v>27</v>
      </c>
      <c r="K46">
        <v>874.5</v>
      </c>
      <c r="L46">
        <v>3483</v>
      </c>
      <c r="M46">
        <v>519.5</v>
      </c>
      <c r="N46">
        <v>550.20000000000005</v>
      </c>
      <c r="O46">
        <v>30.7</v>
      </c>
      <c r="P46">
        <v>5.91E-2</v>
      </c>
      <c r="Q46">
        <v>9.5</v>
      </c>
      <c r="R46">
        <v>8.16</v>
      </c>
      <c r="S46" s="60">
        <v>64.599999999999994</v>
      </c>
      <c r="T46" s="60">
        <v>66.5</v>
      </c>
      <c r="U46">
        <v>0</v>
      </c>
      <c r="W46" t="s">
        <v>28</v>
      </c>
      <c r="X46">
        <f>IF(Merge1[[#This Row],[qc_status]]="PASS",1,0)</f>
        <v>1</v>
      </c>
      <c r="Y46" t="s">
        <v>132</v>
      </c>
    </row>
    <row r="47" spans="1:26" x14ac:dyDescent="0.35">
      <c r="A47" t="s">
        <v>131</v>
      </c>
      <c r="B47">
        <v>44981</v>
      </c>
      <c r="C47" t="s">
        <v>23</v>
      </c>
      <c r="D47" t="s">
        <v>1235</v>
      </c>
      <c r="E47" t="s">
        <v>1236</v>
      </c>
      <c r="F47" t="s">
        <v>54</v>
      </c>
      <c r="G47" t="s">
        <v>32</v>
      </c>
      <c r="H47" t="s">
        <v>26</v>
      </c>
      <c r="I47" t="s">
        <v>1260</v>
      </c>
      <c r="J47" t="s">
        <v>27</v>
      </c>
      <c r="K47">
        <v>874.5</v>
      </c>
      <c r="L47">
        <v>3483</v>
      </c>
      <c r="M47">
        <v>519.5</v>
      </c>
      <c r="N47">
        <v>550.20000000000005</v>
      </c>
      <c r="O47">
        <v>30.7</v>
      </c>
      <c r="P47">
        <v>5.91E-2</v>
      </c>
      <c r="Q47">
        <v>9.5</v>
      </c>
      <c r="R47">
        <v>8.16</v>
      </c>
      <c r="S47" s="60">
        <v>64.599999999999994</v>
      </c>
      <c r="T47" s="60">
        <v>66.5</v>
      </c>
      <c r="U47">
        <v>0</v>
      </c>
      <c r="W47" t="s">
        <v>28</v>
      </c>
      <c r="X47">
        <f>IF(Merge1[[#This Row],[qc_status]]="PASS",1,0)</f>
        <v>1</v>
      </c>
      <c r="Y47" t="s">
        <v>132</v>
      </c>
    </row>
    <row r="48" spans="1:26" hidden="1" x14ac:dyDescent="0.35">
      <c r="A48" t="s">
        <v>133</v>
      </c>
      <c r="B48">
        <v>44981</v>
      </c>
      <c r="C48" t="s">
        <v>42</v>
      </c>
      <c r="D48" t="s">
        <v>1246</v>
      </c>
      <c r="E48" t="s">
        <v>1247</v>
      </c>
      <c r="F48" t="s">
        <v>37</v>
      </c>
      <c r="G48" t="s">
        <v>43</v>
      </c>
      <c r="H48" t="s">
        <v>26</v>
      </c>
      <c r="I48" t="s">
        <v>1260</v>
      </c>
      <c r="J48" t="s">
        <v>34</v>
      </c>
      <c r="K48">
        <v>870.2</v>
      </c>
      <c r="L48">
        <v>4589.7</v>
      </c>
      <c r="M48">
        <v>564.5</v>
      </c>
      <c r="N48">
        <v>569.29999999999995</v>
      </c>
      <c r="O48">
        <v>4.8</v>
      </c>
      <c r="P48">
        <v>8.5000000000000006E-3</v>
      </c>
      <c r="Q48">
        <v>14</v>
      </c>
      <c r="R48">
        <v>14.49</v>
      </c>
      <c r="S48">
        <v>68.3</v>
      </c>
      <c r="T48">
        <v>69.400000000000006</v>
      </c>
      <c r="U48">
        <v>3</v>
      </c>
      <c r="V48" t="s">
        <v>45</v>
      </c>
      <c r="W48" t="s">
        <v>38</v>
      </c>
      <c r="X48">
        <f>IF(Merge1[[#This Row],[qc_status]]="PASS",1,0)</f>
        <v>0</v>
      </c>
      <c r="Y48" t="s">
        <v>134</v>
      </c>
      <c r="Z48" t="s">
        <v>40</v>
      </c>
    </row>
    <row r="49" spans="1:26" x14ac:dyDescent="0.35">
      <c r="A49" t="s">
        <v>135</v>
      </c>
      <c r="B49">
        <v>44983</v>
      </c>
      <c r="C49" t="s">
        <v>31</v>
      </c>
      <c r="D49" t="s">
        <v>1241</v>
      </c>
      <c r="E49" t="s">
        <v>1242</v>
      </c>
      <c r="F49" t="s">
        <v>37</v>
      </c>
      <c r="G49" t="s">
        <v>105</v>
      </c>
      <c r="H49" t="s">
        <v>44</v>
      </c>
      <c r="I49" t="s">
        <v>1255</v>
      </c>
      <c r="J49" t="s">
        <v>27</v>
      </c>
      <c r="K49">
        <v>452.7</v>
      </c>
      <c r="L49">
        <v>2190.8000000000002</v>
      </c>
      <c r="M49">
        <v>259.8</v>
      </c>
      <c r="N49">
        <v>262.60000000000002</v>
      </c>
      <c r="O49">
        <v>2.8</v>
      </c>
      <c r="P49">
        <v>1.0800000000000001E-2</v>
      </c>
      <c r="Q49">
        <v>14.6</v>
      </c>
      <c r="R49">
        <v>14.69</v>
      </c>
      <c r="S49" s="60">
        <v>69.3</v>
      </c>
      <c r="T49" s="60">
        <v>67.099999999999994</v>
      </c>
      <c r="U49">
        <v>0</v>
      </c>
      <c r="W49" t="s">
        <v>28</v>
      </c>
      <c r="X49">
        <f>IF(Merge1[[#This Row],[qc_status]]="PASS",1,0)</f>
        <v>1</v>
      </c>
      <c r="Y49" t="s">
        <v>136</v>
      </c>
      <c r="Z49" t="s">
        <v>61</v>
      </c>
    </row>
    <row r="50" spans="1:26" x14ac:dyDescent="0.35">
      <c r="A50" t="s">
        <v>137</v>
      </c>
      <c r="B50">
        <v>44984</v>
      </c>
      <c r="C50" t="s">
        <v>97</v>
      </c>
      <c r="D50" t="s">
        <v>1238</v>
      </c>
      <c r="E50" t="s">
        <v>1239</v>
      </c>
      <c r="F50" t="s">
        <v>37</v>
      </c>
      <c r="G50" t="s">
        <v>89</v>
      </c>
      <c r="H50" t="s">
        <v>44</v>
      </c>
      <c r="I50" t="s">
        <v>1255</v>
      </c>
      <c r="J50" t="s">
        <v>27</v>
      </c>
      <c r="K50">
        <v>1163.7</v>
      </c>
      <c r="L50">
        <v>5868.3</v>
      </c>
      <c r="M50">
        <v>690.3</v>
      </c>
      <c r="N50">
        <v>710.2</v>
      </c>
      <c r="O50">
        <v>19.899999999999999</v>
      </c>
      <c r="P50">
        <v>2.8799999999999999E-2</v>
      </c>
      <c r="Q50">
        <v>17.399999999999999</v>
      </c>
      <c r="R50">
        <v>21.93</v>
      </c>
      <c r="S50" s="60">
        <v>60.4</v>
      </c>
      <c r="T50" s="60">
        <v>59</v>
      </c>
      <c r="U50">
        <v>2</v>
      </c>
      <c r="V50" t="s">
        <v>70</v>
      </c>
      <c r="W50" t="s">
        <v>28</v>
      </c>
      <c r="X50">
        <f>IF(Merge1[[#This Row],[qc_status]]="PASS",1,0)</f>
        <v>1</v>
      </c>
      <c r="Y50" t="s">
        <v>138</v>
      </c>
    </row>
    <row r="51" spans="1:26" hidden="1" x14ac:dyDescent="0.35">
      <c r="A51" t="s">
        <v>139</v>
      </c>
      <c r="B51">
        <v>44986</v>
      </c>
      <c r="C51" t="s">
        <v>23</v>
      </c>
      <c r="D51" t="s">
        <v>1235</v>
      </c>
      <c r="E51" t="s">
        <v>1236</v>
      </c>
      <c r="F51" t="s">
        <v>75</v>
      </c>
      <c r="G51" t="s">
        <v>105</v>
      </c>
      <c r="H51" t="s">
        <v>59</v>
      </c>
      <c r="I51" t="s">
        <v>1257</v>
      </c>
      <c r="J51" t="s">
        <v>34</v>
      </c>
      <c r="K51">
        <v>807</v>
      </c>
      <c r="L51">
        <v>3210.7</v>
      </c>
      <c r="M51">
        <v>486</v>
      </c>
      <c r="N51">
        <v>487.4</v>
      </c>
      <c r="O51">
        <v>1.4</v>
      </c>
      <c r="P51">
        <v>2.8999999999999998E-3</v>
      </c>
      <c r="Q51">
        <v>14.3</v>
      </c>
      <c r="R51">
        <v>12.37</v>
      </c>
      <c r="S51">
        <v>60.6</v>
      </c>
      <c r="T51">
        <v>62.2</v>
      </c>
      <c r="U51">
        <v>0</v>
      </c>
      <c r="W51" t="s">
        <v>38</v>
      </c>
      <c r="X51">
        <f>IF(Merge1[[#This Row],[qc_status]]="PASS",1,0)</f>
        <v>0</v>
      </c>
      <c r="Y51" t="s">
        <v>140</v>
      </c>
    </row>
    <row r="52" spans="1:26" hidden="1" x14ac:dyDescent="0.35">
      <c r="A52" t="s">
        <v>139</v>
      </c>
      <c r="B52">
        <v>44986</v>
      </c>
      <c r="C52" t="s">
        <v>23</v>
      </c>
      <c r="D52" t="s">
        <v>1235</v>
      </c>
      <c r="E52" t="s">
        <v>1236</v>
      </c>
      <c r="F52" t="s">
        <v>75</v>
      </c>
      <c r="G52" t="s">
        <v>105</v>
      </c>
      <c r="H52" t="s">
        <v>59</v>
      </c>
      <c r="I52" t="s">
        <v>1257</v>
      </c>
      <c r="J52" t="s">
        <v>34</v>
      </c>
      <c r="K52">
        <v>807</v>
      </c>
      <c r="L52">
        <v>3210.7</v>
      </c>
      <c r="M52">
        <v>486</v>
      </c>
      <c r="N52">
        <v>487.4</v>
      </c>
      <c r="O52">
        <v>1.4</v>
      </c>
      <c r="P52">
        <v>2.8999999999999998E-3</v>
      </c>
      <c r="Q52">
        <v>14.3</v>
      </c>
      <c r="R52">
        <v>12.37</v>
      </c>
      <c r="S52">
        <v>60.6</v>
      </c>
      <c r="T52">
        <v>62.2</v>
      </c>
      <c r="U52">
        <v>0</v>
      </c>
      <c r="W52" t="s">
        <v>38</v>
      </c>
      <c r="X52">
        <f>IF(Merge1[[#This Row],[qc_status]]="PASS",1,0)</f>
        <v>0</v>
      </c>
      <c r="Y52" t="s">
        <v>140</v>
      </c>
    </row>
    <row r="53" spans="1:26" hidden="1" x14ac:dyDescent="0.35">
      <c r="A53" t="s">
        <v>141</v>
      </c>
      <c r="B53">
        <v>44987</v>
      </c>
      <c r="C53" t="s">
        <v>97</v>
      </c>
      <c r="D53" t="s">
        <v>1238</v>
      </c>
      <c r="E53" t="s">
        <v>1239</v>
      </c>
      <c r="F53" t="s">
        <v>75</v>
      </c>
      <c r="G53" t="s">
        <v>105</v>
      </c>
      <c r="H53" t="s">
        <v>26</v>
      </c>
      <c r="I53" t="s">
        <v>1260</v>
      </c>
      <c r="J53" t="s">
        <v>34</v>
      </c>
      <c r="K53">
        <v>727</v>
      </c>
      <c r="L53">
        <v>3650.3</v>
      </c>
      <c r="M53">
        <v>453.4</v>
      </c>
      <c r="N53">
        <v>452.8</v>
      </c>
      <c r="O53">
        <v>-0.6</v>
      </c>
      <c r="P53">
        <v>-1.2999999999999999E-3</v>
      </c>
      <c r="Q53">
        <v>11.1</v>
      </c>
      <c r="R53">
        <v>12.14</v>
      </c>
      <c r="S53">
        <v>62.4</v>
      </c>
      <c r="T53">
        <v>63.4</v>
      </c>
      <c r="U53">
        <v>0</v>
      </c>
      <c r="W53" t="s">
        <v>28</v>
      </c>
      <c r="X53">
        <f>IF(Merge1[[#This Row],[qc_status]]="PASS",1,0)</f>
        <v>1</v>
      </c>
      <c r="Y53" t="s">
        <v>142</v>
      </c>
    </row>
    <row r="54" spans="1:26" hidden="1" x14ac:dyDescent="0.35">
      <c r="A54" t="s">
        <v>143</v>
      </c>
      <c r="B54">
        <v>44990</v>
      </c>
      <c r="C54" t="s">
        <v>51</v>
      </c>
      <c r="D54" t="s">
        <v>1244</v>
      </c>
      <c r="E54" t="s">
        <v>1242</v>
      </c>
      <c r="F54" t="s">
        <v>92</v>
      </c>
      <c r="G54" t="s">
        <v>105</v>
      </c>
      <c r="H54" t="s">
        <v>55</v>
      </c>
      <c r="I54" t="s">
        <v>1253</v>
      </c>
      <c r="J54" t="s">
        <v>34</v>
      </c>
      <c r="K54">
        <v>531.20000000000005</v>
      </c>
      <c r="L54">
        <v>2585.4</v>
      </c>
      <c r="M54">
        <v>368.6</v>
      </c>
      <c r="N54">
        <v>376.1</v>
      </c>
      <c r="O54">
        <v>7.5</v>
      </c>
      <c r="P54">
        <v>2.0299999999999999E-2</v>
      </c>
      <c r="Q54">
        <v>17.600000000000001</v>
      </c>
      <c r="R54">
        <v>18.059999999999999</v>
      </c>
      <c r="S54">
        <v>62.7</v>
      </c>
      <c r="T54">
        <v>61.3</v>
      </c>
      <c r="U54">
        <v>0</v>
      </c>
      <c r="W54" t="s">
        <v>28</v>
      </c>
      <c r="X54">
        <f>IF(Merge1[[#This Row],[qc_status]]="PASS",1,0)</f>
        <v>1</v>
      </c>
      <c r="Y54" t="s">
        <v>144</v>
      </c>
    </row>
    <row r="55" spans="1:26" hidden="1" x14ac:dyDescent="0.35">
      <c r="A55" t="s">
        <v>145</v>
      </c>
      <c r="B55">
        <v>44990</v>
      </c>
      <c r="C55" t="s">
        <v>23</v>
      </c>
      <c r="D55" t="s">
        <v>1235</v>
      </c>
      <c r="E55" t="s">
        <v>1236</v>
      </c>
      <c r="F55" t="s">
        <v>37</v>
      </c>
      <c r="G55" t="s">
        <v>105</v>
      </c>
      <c r="H55" t="s">
        <v>59</v>
      </c>
      <c r="I55" t="s">
        <v>1257</v>
      </c>
      <c r="J55" t="s">
        <v>34</v>
      </c>
      <c r="K55">
        <v>712.9</v>
      </c>
      <c r="L55">
        <v>3761.9</v>
      </c>
      <c r="M55">
        <v>464.5</v>
      </c>
      <c r="N55">
        <v>459.8</v>
      </c>
      <c r="O55">
        <v>-4.7</v>
      </c>
      <c r="P55">
        <v>-1.01E-2</v>
      </c>
      <c r="Q55">
        <v>14.8</v>
      </c>
      <c r="R55">
        <v>14.56</v>
      </c>
      <c r="S55">
        <v>64.5</v>
      </c>
      <c r="T55">
        <v>64.5</v>
      </c>
      <c r="U55">
        <v>3</v>
      </c>
      <c r="V55" t="s">
        <v>146</v>
      </c>
      <c r="W55" t="s">
        <v>38</v>
      </c>
      <c r="X55">
        <f>IF(Merge1[[#This Row],[qc_status]]="PASS",1,0)</f>
        <v>0</v>
      </c>
      <c r="Y55" t="s">
        <v>147</v>
      </c>
      <c r="Z55" t="s">
        <v>40</v>
      </c>
    </row>
    <row r="56" spans="1:26" hidden="1" x14ac:dyDescent="0.35">
      <c r="A56" t="s">
        <v>145</v>
      </c>
      <c r="B56">
        <v>44990</v>
      </c>
      <c r="C56" t="s">
        <v>23</v>
      </c>
      <c r="D56" t="s">
        <v>1235</v>
      </c>
      <c r="E56" t="s">
        <v>1236</v>
      </c>
      <c r="F56" t="s">
        <v>37</v>
      </c>
      <c r="G56" t="s">
        <v>105</v>
      </c>
      <c r="H56" t="s">
        <v>59</v>
      </c>
      <c r="I56" t="s">
        <v>1257</v>
      </c>
      <c r="J56" t="s">
        <v>34</v>
      </c>
      <c r="K56">
        <v>712.9</v>
      </c>
      <c r="L56">
        <v>3761.9</v>
      </c>
      <c r="M56">
        <v>464.5</v>
      </c>
      <c r="N56">
        <v>459.8</v>
      </c>
      <c r="O56">
        <v>-4.7</v>
      </c>
      <c r="P56">
        <v>-1.01E-2</v>
      </c>
      <c r="Q56">
        <v>14.8</v>
      </c>
      <c r="R56">
        <v>14.56</v>
      </c>
      <c r="S56">
        <v>64.5</v>
      </c>
      <c r="T56">
        <v>64.5</v>
      </c>
      <c r="U56">
        <v>3</v>
      </c>
      <c r="V56" t="s">
        <v>146</v>
      </c>
      <c r="W56" t="s">
        <v>38</v>
      </c>
      <c r="X56">
        <f>IF(Merge1[[#This Row],[qc_status]]="PASS",1,0)</f>
        <v>0</v>
      </c>
      <c r="Y56" t="s">
        <v>147</v>
      </c>
      <c r="Z56" t="s">
        <v>40</v>
      </c>
    </row>
    <row r="57" spans="1:26" hidden="1" x14ac:dyDescent="0.35">
      <c r="A57" t="s">
        <v>148</v>
      </c>
      <c r="B57">
        <v>44991</v>
      </c>
      <c r="C57" t="s">
        <v>31</v>
      </c>
      <c r="D57" t="s">
        <v>1241</v>
      </c>
      <c r="E57" t="s">
        <v>1242</v>
      </c>
      <c r="F57" t="s">
        <v>92</v>
      </c>
      <c r="G57" t="s">
        <v>43</v>
      </c>
      <c r="H57" t="s">
        <v>33</v>
      </c>
      <c r="I57" t="s">
        <v>1258</v>
      </c>
      <c r="J57" t="s">
        <v>34</v>
      </c>
      <c r="K57">
        <v>706.4</v>
      </c>
      <c r="L57">
        <v>3564.3</v>
      </c>
      <c r="M57">
        <v>419.8</v>
      </c>
      <c r="N57">
        <v>431.3</v>
      </c>
      <c r="O57">
        <v>11.5</v>
      </c>
      <c r="P57">
        <v>2.7400000000000001E-2</v>
      </c>
      <c r="Q57">
        <v>12.4</v>
      </c>
      <c r="R57">
        <v>13.79</v>
      </c>
      <c r="S57">
        <v>67.3</v>
      </c>
      <c r="T57">
        <v>68.3</v>
      </c>
      <c r="U57">
        <v>1</v>
      </c>
      <c r="V57" t="s">
        <v>146</v>
      </c>
      <c r="W57" t="s">
        <v>28</v>
      </c>
      <c r="X57">
        <f>IF(Merge1[[#This Row],[qc_status]]="PASS",1,0)</f>
        <v>1</v>
      </c>
      <c r="Y57" t="s">
        <v>149</v>
      </c>
    </row>
    <row r="58" spans="1:26" hidden="1" x14ac:dyDescent="0.35">
      <c r="A58" t="s">
        <v>150</v>
      </c>
      <c r="B58">
        <v>44992</v>
      </c>
      <c r="C58" t="s">
        <v>42</v>
      </c>
      <c r="D58" t="s">
        <v>1246</v>
      </c>
      <c r="E58" t="s">
        <v>1247</v>
      </c>
      <c r="F58" t="s">
        <v>75</v>
      </c>
      <c r="G58" t="s">
        <v>32</v>
      </c>
      <c r="H58" t="s">
        <v>59</v>
      </c>
      <c r="I58" t="s">
        <v>1257</v>
      </c>
      <c r="J58" t="s">
        <v>34</v>
      </c>
      <c r="K58">
        <v>421.4</v>
      </c>
      <c r="L58">
        <v>1945.7</v>
      </c>
      <c r="M58">
        <v>297.39999999999998</v>
      </c>
      <c r="N58">
        <v>297.3</v>
      </c>
      <c r="O58">
        <v>-0.1</v>
      </c>
      <c r="P58">
        <v>-2.9999999999999997E-4</v>
      </c>
      <c r="Q58">
        <v>6.6</v>
      </c>
      <c r="R58">
        <v>5.81</v>
      </c>
      <c r="S58">
        <v>64.3</v>
      </c>
      <c r="T58">
        <v>63.9</v>
      </c>
      <c r="U58">
        <v>2</v>
      </c>
      <c r="W58" t="s">
        <v>28</v>
      </c>
      <c r="X58">
        <f>IF(Merge1[[#This Row],[qc_status]]="PASS",1,0)</f>
        <v>1</v>
      </c>
      <c r="Y58" t="s">
        <v>151</v>
      </c>
    </row>
    <row r="59" spans="1:26" x14ac:dyDescent="0.35">
      <c r="A59" t="s">
        <v>152</v>
      </c>
      <c r="B59">
        <v>44995</v>
      </c>
      <c r="C59" t="s">
        <v>51</v>
      </c>
      <c r="D59" t="s">
        <v>1244</v>
      </c>
      <c r="E59" t="s">
        <v>1242</v>
      </c>
      <c r="F59" t="s">
        <v>75</v>
      </c>
      <c r="G59" t="s">
        <v>43</v>
      </c>
      <c r="H59" t="s">
        <v>59</v>
      </c>
      <c r="I59" t="s">
        <v>1257</v>
      </c>
      <c r="J59" t="s">
        <v>27</v>
      </c>
      <c r="K59">
        <v>921.2</v>
      </c>
      <c r="L59">
        <v>4462.8</v>
      </c>
      <c r="M59">
        <v>585.70000000000005</v>
      </c>
      <c r="N59">
        <v>619.20000000000005</v>
      </c>
      <c r="O59">
        <v>33.5</v>
      </c>
      <c r="P59">
        <v>5.7200000000000001E-2</v>
      </c>
      <c r="Q59">
        <v>7.3</v>
      </c>
      <c r="R59">
        <v>8.14</v>
      </c>
      <c r="S59" s="60">
        <v>66.900000000000006</v>
      </c>
      <c r="T59" s="60">
        <v>66.5</v>
      </c>
      <c r="U59">
        <v>1</v>
      </c>
      <c r="W59" t="s">
        <v>28</v>
      </c>
      <c r="X59">
        <f>IF(Merge1[[#This Row],[qc_status]]="PASS",1,0)</f>
        <v>1</v>
      </c>
      <c r="Y59" t="s">
        <v>153</v>
      </c>
    </row>
    <row r="60" spans="1:26" x14ac:dyDescent="0.35">
      <c r="A60" t="s">
        <v>154</v>
      </c>
      <c r="B60">
        <v>44996</v>
      </c>
      <c r="C60" t="s">
        <v>23</v>
      </c>
      <c r="D60" t="s">
        <v>1235</v>
      </c>
      <c r="E60" t="s">
        <v>1236</v>
      </c>
      <c r="F60" t="s">
        <v>24</v>
      </c>
      <c r="G60" t="s">
        <v>43</v>
      </c>
      <c r="H60" t="s">
        <v>26</v>
      </c>
      <c r="I60" t="s">
        <v>1260</v>
      </c>
      <c r="J60" t="s">
        <v>27</v>
      </c>
      <c r="K60">
        <v>1106.9000000000001</v>
      </c>
      <c r="L60">
        <v>5043.3</v>
      </c>
      <c r="M60">
        <v>707.3</v>
      </c>
      <c r="N60">
        <v>716.5</v>
      </c>
      <c r="O60">
        <v>9.1999999999999993</v>
      </c>
      <c r="P60">
        <v>1.2999999999999999E-2</v>
      </c>
      <c r="Q60">
        <v>15.2</v>
      </c>
      <c r="R60">
        <v>14.73</v>
      </c>
      <c r="S60" s="60">
        <v>61.9</v>
      </c>
      <c r="T60" s="60">
        <v>61.2</v>
      </c>
      <c r="U60">
        <v>2</v>
      </c>
      <c r="V60" t="s">
        <v>86</v>
      </c>
      <c r="W60" t="s">
        <v>28</v>
      </c>
      <c r="X60">
        <f>IF(Merge1[[#This Row],[qc_status]]="PASS",1,0)</f>
        <v>1</v>
      </c>
      <c r="Y60" t="s">
        <v>155</v>
      </c>
    </row>
    <row r="61" spans="1:26" x14ac:dyDescent="0.35">
      <c r="A61" t="s">
        <v>154</v>
      </c>
      <c r="B61">
        <v>44996</v>
      </c>
      <c r="C61" t="s">
        <v>23</v>
      </c>
      <c r="D61" t="s">
        <v>1235</v>
      </c>
      <c r="E61" t="s">
        <v>1236</v>
      </c>
      <c r="F61" t="s">
        <v>24</v>
      </c>
      <c r="G61" t="s">
        <v>43</v>
      </c>
      <c r="H61" t="s">
        <v>26</v>
      </c>
      <c r="I61" t="s">
        <v>1260</v>
      </c>
      <c r="J61" t="s">
        <v>27</v>
      </c>
      <c r="K61">
        <v>1106.9000000000001</v>
      </c>
      <c r="L61">
        <v>5043.3</v>
      </c>
      <c r="M61">
        <v>707.3</v>
      </c>
      <c r="N61">
        <v>716.5</v>
      </c>
      <c r="O61">
        <v>9.1999999999999993</v>
      </c>
      <c r="P61">
        <v>1.2999999999999999E-2</v>
      </c>
      <c r="Q61">
        <v>15.2</v>
      </c>
      <c r="R61">
        <v>14.73</v>
      </c>
      <c r="S61" s="60">
        <v>61.9</v>
      </c>
      <c r="T61" s="60">
        <v>61.2</v>
      </c>
      <c r="U61">
        <v>2</v>
      </c>
      <c r="V61" t="s">
        <v>86</v>
      </c>
      <c r="W61" t="s">
        <v>28</v>
      </c>
      <c r="X61">
        <f>IF(Merge1[[#This Row],[qc_status]]="PASS",1,0)</f>
        <v>1</v>
      </c>
      <c r="Y61" t="s">
        <v>155</v>
      </c>
    </row>
    <row r="62" spans="1:26" hidden="1" x14ac:dyDescent="0.35">
      <c r="A62" t="s">
        <v>156</v>
      </c>
      <c r="B62">
        <v>44997</v>
      </c>
      <c r="C62" t="s">
        <v>42</v>
      </c>
      <c r="D62" t="s">
        <v>1246</v>
      </c>
      <c r="E62" t="s">
        <v>1247</v>
      </c>
      <c r="F62" t="s">
        <v>75</v>
      </c>
      <c r="G62" t="s">
        <v>48</v>
      </c>
      <c r="H62" t="s">
        <v>59</v>
      </c>
      <c r="I62" t="s">
        <v>1257</v>
      </c>
      <c r="J62" t="s">
        <v>34</v>
      </c>
      <c r="K62">
        <v>941.1</v>
      </c>
      <c r="L62">
        <v>4945.8999999999996</v>
      </c>
      <c r="M62">
        <v>615.6</v>
      </c>
      <c r="N62">
        <v>594.6</v>
      </c>
      <c r="O62">
        <v>-21</v>
      </c>
      <c r="P62">
        <v>-3.4099999999999998E-2</v>
      </c>
      <c r="Q62">
        <v>7.6</v>
      </c>
      <c r="R62">
        <v>9.6999999999999993</v>
      </c>
      <c r="S62">
        <v>68.099999999999994</v>
      </c>
      <c r="T62">
        <v>67.099999999999994</v>
      </c>
      <c r="U62">
        <v>0</v>
      </c>
      <c r="W62" t="s">
        <v>28</v>
      </c>
      <c r="X62">
        <f>IF(Merge1[[#This Row],[qc_status]]="PASS",1,0)</f>
        <v>1</v>
      </c>
      <c r="Y62" t="s">
        <v>157</v>
      </c>
    </row>
    <row r="63" spans="1:26" x14ac:dyDescent="0.35">
      <c r="A63" t="s">
        <v>158</v>
      </c>
      <c r="B63">
        <v>44998</v>
      </c>
      <c r="C63" t="s">
        <v>97</v>
      </c>
      <c r="D63" t="s">
        <v>1238</v>
      </c>
      <c r="E63" t="s">
        <v>1239</v>
      </c>
      <c r="F63" t="s">
        <v>54</v>
      </c>
      <c r="G63" t="s">
        <v>32</v>
      </c>
      <c r="H63" t="s">
        <v>59</v>
      </c>
      <c r="I63" t="s">
        <v>1257</v>
      </c>
      <c r="J63" t="s">
        <v>27</v>
      </c>
      <c r="K63">
        <v>867.9</v>
      </c>
      <c r="L63">
        <v>4031.3</v>
      </c>
      <c r="M63">
        <v>548.1</v>
      </c>
      <c r="N63">
        <v>548.5</v>
      </c>
      <c r="O63">
        <v>0.4</v>
      </c>
      <c r="P63">
        <v>6.9999999999999999E-4</v>
      </c>
      <c r="Q63">
        <v>9.6999999999999993</v>
      </c>
      <c r="R63">
        <v>12.46</v>
      </c>
      <c r="S63" s="60">
        <v>67.5</v>
      </c>
      <c r="T63" s="60">
        <v>65.099999999999994</v>
      </c>
      <c r="U63">
        <v>0</v>
      </c>
      <c r="W63" t="s">
        <v>38</v>
      </c>
      <c r="X63">
        <f>IF(Merge1[[#This Row],[qc_status]]="PASS",1,0)</f>
        <v>0</v>
      </c>
      <c r="Y63" t="s">
        <v>159</v>
      </c>
      <c r="Z63" t="s">
        <v>61</v>
      </c>
    </row>
    <row r="64" spans="1:26" hidden="1" x14ac:dyDescent="0.35">
      <c r="A64" t="s">
        <v>160</v>
      </c>
      <c r="B64">
        <v>45000</v>
      </c>
      <c r="C64" t="s">
        <v>31</v>
      </c>
      <c r="D64" t="s">
        <v>1241</v>
      </c>
      <c r="E64" t="s">
        <v>1242</v>
      </c>
      <c r="F64" t="s">
        <v>92</v>
      </c>
      <c r="G64" t="s">
        <v>89</v>
      </c>
      <c r="H64" t="s">
        <v>59</v>
      </c>
      <c r="I64" t="s">
        <v>1257</v>
      </c>
      <c r="J64" t="s">
        <v>34</v>
      </c>
      <c r="K64">
        <v>863.4</v>
      </c>
      <c r="L64">
        <v>3518.5</v>
      </c>
      <c r="M64">
        <v>497.8</v>
      </c>
      <c r="N64">
        <v>497.7</v>
      </c>
      <c r="O64">
        <v>-0.1</v>
      </c>
      <c r="P64">
        <v>-2.0000000000000001E-4</v>
      </c>
      <c r="Q64">
        <v>6.5</v>
      </c>
      <c r="R64">
        <v>7.42</v>
      </c>
      <c r="S64">
        <v>69.8</v>
      </c>
      <c r="T64">
        <v>68.900000000000006</v>
      </c>
      <c r="U64">
        <v>0</v>
      </c>
      <c r="W64" t="s">
        <v>28</v>
      </c>
      <c r="X64">
        <f>IF(Merge1[[#This Row],[qc_status]]="PASS",1,0)</f>
        <v>1</v>
      </c>
      <c r="Y64" t="s">
        <v>161</v>
      </c>
    </row>
    <row r="65" spans="1:26" hidden="1" x14ac:dyDescent="0.35">
      <c r="A65" t="s">
        <v>162</v>
      </c>
      <c r="B65">
        <v>45001</v>
      </c>
      <c r="C65" t="s">
        <v>23</v>
      </c>
      <c r="D65" t="s">
        <v>1235</v>
      </c>
      <c r="E65" t="s">
        <v>1236</v>
      </c>
      <c r="F65" t="s">
        <v>75</v>
      </c>
      <c r="G65" t="s">
        <v>48</v>
      </c>
      <c r="H65" t="s">
        <v>59</v>
      </c>
      <c r="I65" t="s">
        <v>1257</v>
      </c>
      <c r="J65" t="s">
        <v>34</v>
      </c>
      <c r="K65">
        <v>597.79999999999995</v>
      </c>
      <c r="L65">
        <v>3199.2</v>
      </c>
      <c r="M65">
        <v>335.1</v>
      </c>
      <c r="N65">
        <v>330.6</v>
      </c>
      <c r="O65">
        <v>-4.5</v>
      </c>
      <c r="P65">
        <v>-1.34E-2</v>
      </c>
      <c r="Q65">
        <v>15.5</v>
      </c>
      <c r="R65">
        <v>13.18</v>
      </c>
      <c r="S65">
        <v>65.599999999999994</v>
      </c>
      <c r="T65">
        <v>63.1</v>
      </c>
      <c r="U65">
        <v>2</v>
      </c>
      <c r="W65" t="s">
        <v>28</v>
      </c>
      <c r="X65">
        <f>IF(Merge1[[#This Row],[qc_status]]="PASS",1,0)</f>
        <v>1</v>
      </c>
      <c r="Y65" t="s">
        <v>163</v>
      </c>
      <c r="Z65" t="s">
        <v>61</v>
      </c>
    </row>
    <row r="66" spans="1:26" hidden="1" x14ac:dyDescent="0.35">
      <c r="A66" t="s">
        <v>162</v>
      </c>
      <c r="B66">
        <v>45001</v>
      </c>
      <c r="C66" t="s">
        <v>23</v>
      </c>
      <c r="D66" t="s">
        <v>1235</v>
      </c>
      <c r="E66" t="s">
        <v>1236</v>
      </c>
      <c r="F66" t="s">
        <v>75</v>
      </c>
      <c r="G66" t="s">
        <v>48</v>
      </c>
      <c r="H66" t="s">
        <v>59</v>
      </c>
      <c r="I66" t="s">
        <v>1257</v>
      </c>
      <c r="J66" t="s">
        <v>34</v>
      </c>
      <c r="K66">
        <v>597.79999999999995</v>
      </c>
      <c r="L66">
        <v>3199.2</v>
      </c>
      <c r="M66">
        <v>335.1</v>
      </c>
      <c r="N66">
        <v>330.6</v>
      </c>
      <c r="O66">
        <v>-4.5</v>
      </c>
      <c r="P66">
        <v>-1.34E-2</v>
      </c>
      <c r="Q66">
        <v>15.5</v>
      </c>
      <c r="R66">
        <v>13.18</v>
      </c>
      <c r="S66">
        <v>65.599999999999994</v>
      </c>
      <c r="T66">
        <v>63.1</v>
      </c>
      <c r="U66">
        <v>2</v>
      </c>
      <c r="W66" t="s">
        <v>28</v>
      </c>
      <c r="X66">
        <f>IF(Merge1[[#This Row],[qc_status]]="PASS",1,0)</f>
        <v>1</v>
      </c>
      <c r="Y66" t="s">
        <v>163</v>
      </c>
      <c r="Z66" t="s">
        <v>61</v>
      </c>
    </row>
    <row r="67" spans="1:26" x14ac:dyDescent="0.35">
      <c r="A67" t="s">
        <v>164</v>
      </c>
      <c r="B67">
        <v>45001</v>
      </c>
      <c r="C67" t="s">
        <v>51</v>
      </c>
      <c r="D67" t="s">
        <v>1244</v>
      </c>
      <c r="E67" t="s">
        <v>1242</v>
      </c>
      <c r="F67" t="s">
        <v>37</v>
      </c>
      <c r="G67" t="s">
        <v>25</v>
      </c>
      <c r="H67" t="s">
        <v>55</v>
      </c>
      <c r="I67" t="s">
        <v>1253</v>
      </c>
      <c r="J67" t="s">
        <v>27</v>
      </c>
      <c r="K67">
        <v>808.7</v>
      </c>
      <c r="L67">
        <v>3209</v>
      </c>
      <c r="M67">
        <v>485.8</v>
      </c>
      <c r="N67">
        <v>524</v>
      </c>
      <c r="O67">
        <v>38.200000000000003</v>
      </c>
      <c r="P67">
        <v>7.8600000000000003E-2</v>
      </c>
      <c r="Q67">
        <v>14.1</v>
      </c>
      <c r="R67">
        <v>12.73</v>
      </c>
      <c r="S67" s="60">
        <v>62.3</v>
      </c>
      <c r="T67" s="60">
        <v>63.6</v>
      </c>
      <c r="U67">
        <v>1</v>
      </c>
      <c r="W67" t="s">
        <v>28</v>
      </c>
      <c r="X67">
        <f>IF(Merge1[[#This Row],[qc_status]]="PASS",1,0)</f>
        <v>1</v>
      </c>
      <c r="Y67" t="s">
        <v>165</v>
      </c>
    </row>
    <row r="68" spans="1:26" x14ac:dyDescent="0.35">
      <c r="A68" t="s">
        <v>166</v>
      </c>
      <c r="B68">
        <v>45002</v>
      </c>
      <c r="C68" t="s">
        <v>23</v>
      </c>
      <c r="D68" t="s">
        <v>1235</v>
      </c>
      <c r="E68" t="s">
        <v>1236</v>
      </c>
      <c r="F68" t="s">
        <v>54</v>
      </c>
      <c r="G68" t="s">
        <v>89</v>
      </c>
      <c r="H68" t="s">
        <v>44</v>
      </c>
      <c r="I68" t="s">
        <v>1255</v>
      </c>
      <c r="J68" t="s">
        <v>27</v>
      </c>
      <c r="K68">
        <v>492.8</v>
      </c>
      <c r="L68">
        <v>2172.6</v>
      </c>
      <c r="M68">
        <v>332.1</v>
      </c>
      <c r="N68">
        <v>327.5</v>
      </c>
      <c r="O68">
        <v>-4.5999999999999996</v>
      </c>
      <c r="P68">
        <v>-1.3899999999999999E-2</v>
      </c>
      <c r="Q68">
        <v>13.1</v>
      </c>
      <c r="R68">
        <v>13.8</v>
      </c>
      <c r="S68" s="60">
        <v>69.599999999999994</v>
      </c>
      <c r="T68" s="60">
        <v>70.2</v>
      </c>
      <c r="U68">
        <v>0</v>
      </c>
      <c r="W68" t="s">
        <v>28</v>
      </c>
      <c r="X68">
        <f>IF(Merge1[[#This Row],[qc_status]]="PASS",1,0)</f>
        <v>1</v>
      </c>
      <c r="Y68" t="s">
        <v>167</v>
      </c>
    </row>
    <row r="69" spans="1:26" x14ac:dyDescent="0.35">
      <c r="A69" t="s">
        <v>166</v>
      </c>
      <c r="B69">
        <v>45002</v>
      </c>
      <c r="C69" t="s">
        <v>23</v>
      </c>
      <c r="D69" t="s">
        <v>1235</v>
      </c>
      <c r="E69" t="s">
        <v>1236</v>
      </c>
      <c r="F69" t="s">
        <v>54</v>
      </c>
      <c r="G69" t="s">
        <v>89</v>
      </c>
      <c r="H69" t="s">
        <v>44</v>
      </c>
      <c r="I69" t="s">
        <v>1255</v>
      </c>
      <c r="J69" t="s">
        <v>27</v>
      </c>
      <c r="K69">
        <v>492.8</v>
      </c>
      <c r="L69">
        <v>2172.6</v>
      </c>
      <c r="M69">
        <v>332.1</v>
      </c>
      <c r="N69">
        <v>327.5</v>
      </c>
      <c r="O69">
        <v>-4.5999999999999996</v>
      </c>
      <c r="P69">
        <v>-1.3899999999999999E-2</v>
      </c>
      <c r="Q69">
        <v>13.1</v>
      </c>
      <c r="R69">
        <v>13.8</v>
      </c>
      <c r="S69" s="60">
        <v>69.599999999999994</v>
      </c>
      <c r="T69" s="60">
        <v>70.2</v>
      </c>
      <c r="U69">
        <v>0</v>
      </c>
      <c r="W69" t="s">
        <v>28</v>
      </c>
      <c r="X69">
        <f>IF(Merge1[[#This Row],[qc_status]]="PASS",1,0)</f>
        <v>1</v>
      </c>
      <c r="Y69" t="s">
        <v>167</v>
      </c>
    </row>
    <row r="70" spans="1:26" hidden="1" x14ac:dyDescent="0.35">
      <c r="A70" t="s">
        <v>168</v>
      </c>
      <c r="B70">
        <v>45003</v>
      </c>
      <c r="C70" t="s">
        <v>42</v>
      </c>
      <c r="D70" t="s">
        <v>1246</v>
      </c>
      <c r="E70" t="s">
        <v>1247</v>
      </c>
      <c r="F70" t="s">
        <v>75</v>
      </c>
      <c r="G70" t="s">
        <v>89</v>
      </c>
      <c r="H70" t="s">
        <v>55</v>
      </c>
      <c r="I70" t="s">
        <v>1253</v>
      </c>
      <c r="J70" t="s">
        <v>34</v>
      </c>
      <c r="K70">
        <v>745.7</v>
      </c>
      <c r="L70">
        <v>3230.6</v>
      </c>
      <c r="M70">
        <v>483.2</v>
      </c>
      <c r="N70">
        <v>482.5</v>
      </c>
      <c r="O70">
        <v>-0.7</v>
      </c>
      <c r="P70">
        <v>-1.4E-3</v>
      </c>
      <c r="Q70">
        <v>4.9000000000000004</v>
      </c>
      <c r="R70">
        <v>6.01</v>
      </c>
      <c r="S70">
        <v>67.2</v>
      </c>
      <c r="T70">
        <v>69.5</v>
      </c>
      <c r="U70">
        <v>0</v>
      </c>
      <c r="W70" t="s">
        <v>28</v>
      </c>
      <c r="X70">
        <f>IF(Merge1[[#This Row],[qc_status]]="PASS",1,0)</f>
        <v>1</v>
      </c>
      <c r="Y70" t="s">
        <v>169</v>
      </c>
      <c r="Z70" t="s">
        <v>57</v>
      </c>
    </row>
    <row r="71" spans="1:26" x14ac:dyDescent="0.35">
      <c r="A71" t="s">
        <v>170</v>
      </c>
      <c r="B71">
        <v>45009</v>
      </c>
      <c r="C71" t="s">
        <v>42</v>
      </c>
      <c r="D71" t="s">
        <v>1246</v>
      </c>
      <c r="E71" t="s">
        <v>1247</v>
      </c>
      <c r="F71" t="s">
        <v>37</v>
      </c>
      <c r="G71" t="s">
        <v>43</v>
      </c>
      <c r="H71" t="s">
        <v>33</v>
      </c>
      <c r="I71" t="s">
        <v>1258</v>
      </c>
      <c r="J71" t="s">
        <v>27</v>
      </c>
      <c r="K71">
        <v>981.3</v>
      </c>
      <c r="L71">
        <v>4844.3</v>
      </c>
      <c r="M71">
        <v>647.1</v>
      </c>
      <c r="N71">
        <v>692.5</v>
      </c>
      <c r="O71">
        <v>45.4</v>
      </c>
      <c r="P71">
        <v>7.0199999999999999E-2</v>
      </c>
      <c r="Q71">
        <v>4.5999999999999996</v>
      </c>
      <c r="R71">
        <v>4.5999999999999996</v>
      </c>
      <c r="S71" s="60">
        <v>62.2</v>
      </c>
      <c r="T71" s="60">
        <v>61</v>
      </c>
      <c r="U71">
        <v>0</v>
      </c>
      <c r="W71" t="s">
        <v>28</v>
      </c>
      <c r="X71">
        <f>IF(Merge1[[#This Row],[qc_status]]="PASS",1,0)</f>
        <v>1</v>
      </c>
      <c r="Y71" t="s">
        <v>171</v>
      </c>
    </row>
    <row r="72" spans="1:26" x14ac:dyDescent="0.35">
      <c r="A72" t="s">
        <v>172</v>
      </c>
      <c r="B72">
        <v>45011</v>
      </c>
      <c r="C72" t="s">
        <v>42</v>
      </c>
      <c r="D72" t="s">
        <v>1246</v>
      </c>
      <c r="E72" t="s">
        <v>1247</v>
      </c>
      <c r="F72" t="s">
        <v>75</v>
      </c>
      <c r="G72" t="s">
        <v>48</v>
      </c>
      <c r="H72" t="s">
        <v>33</v>
      </c>
      <c r="I72" t="s">
        <v>1258</v>
      </c>
      <c r="J72" t="s">
        <v>27</v>
      </c>
      <c r="K72">
        <v>782.5</v>
      </c>
      <c r="L72">
        <v>3696.9</v>
      </c>
      <c r="M72">
        <v>479.5</v>
      </c>
      <c r="N72">
        <v>468.3</v>
      </c>
      <c r="O72">
        <v>-11.2</v>
      </c>
      <c r="P72">
        <v>-2.3400000000000001E-2</v>
      </c>
      <c r="Q72">
        <v>10.8</v>
      </c>
      <c r="R72">
        <v>13.28</v>
      </c>
      <c r="S72" s="60">
        <v>61</v>
      </c>
      <c r="T72" s="60">
        <v>61.6</v>
      </c>
      <c r="U72">
        <v>0</v>
      </c>
      <c r="W72" t="s">
        <v>28</v>
      </c>
      <c r="X72">
        <f>IF(Merge1[[#This Row],[qc_status]]="PASS",1,0)</f>
        <v>1</v>
      </c>
      <c r="Y72" t="s">
        <v>173</v>
      </c>
    </row>
    <row r="73" spans="1:26" hidden="1" x14ac:dyDescent="0.35">
      <c r="A73" t="s">
        <v>174</v>
      </c>
      <c r="B73">
        <v>45012</v>
      </c>
      <c r="C73" t="s">
        <v>23</v>
      </c>
      <c r="D73" t="s">
        <v>1235</v>
      </c>
      <c r="E73" t="s">
        <v>1236</v>
      </c>
      <c r="F73" t="s">
        <v>54</v>
      </c>
      <c r="G73" t="s">
        <v>48</v>
      </c>
      <c r="H73" t="s">
        <v>44</v>
      </c>
      <c r="I73" t="s">
        <v>1255</v>
      </c>
      <c r="J73" t="s">
        <v>34</v>
      </c>
      <c r="K73">
        <v>614.9</v>
      </c>
      <c r="L73">
        <v>3056.3</v>
      </c>
      <c r="M73">
        <v>356.9</v>
      </c>
      <c r="N73">
        <v>377.9</v>
      </c>
      <c r="O73">
        <v>21</v>
      </c>
      <c r="P73">
        <v>5.8799999999999998E-2</v>
      </c>
      <c r="Q73">
        <v>16.3</v>
      </c>
      <c r="R73">
        <v>13.26</v>
      </c>
      <c r="S73">
        <v>60.6</v>
      </c>
      <c r="T73">
        <v>58.3</v>
      </c>
      <c r="U73">
        <v>0</v>
      </c>
      <c r="W73" t="s">
        <v>38</v>
      </c>
      <c r="X73">
        <f>IF(Merge1[[#This Row],[qc_status]]="PASS",1,0)</f>
        <v>0</v>
      </c>
      <c r="Y73" t="s">
        <v>175</v>
      </c>
      <c r="Z73" t="s">
        <v>61</v>
      </c>
    </row>
    <row r="74" spans="1:26" hidden="1" x14ac:dyDescent="0.35">
      <c r="A74" t="s">
        <v>174</v>
      </c>
      <c r="B74">
        <v>45012</v>
      </c>
      <c r="C74" t="s">
        <v>23</v>
      </c>
      <c r="D74" t="s">
        <v>1235</v>
      </c>
      <c r="E74" t="s">
        <v>1236</v>
      </c>
      <c r="F74" t="s">
        <v>54</v>
      </c>
      <c r="G74" t="s">
        <v>48</v>
      </c>
      <c r="H74" t="s">
        <v>44</v>
      </c>
      <c r="I74" t="s">
        <v>1255</v>
      </c>
      <c r="J74" t="s">
        <v>34</v>
      </c>
      <c r="K74">
        <v>614.9</v>
      </c>
      <c r="L74">
        <v>3056.3</v>
      </c>
      <c r="M74">
        <v>356.9</v>
      </c>
      <c r="N74">
        <v>377.9</v>
      </c>
      <c r="O74">
        <v>21</v>
      </c>
      <c r="P74">
        <v>5.8799999999999998E-2</v>
      </c>
      <c r="Q74">
        <v>16.3</v>
      </c>
      <c r="R74">
        <v>13.26</v>
      </c>
      <c r="S74">
        <v>60.6</v>
      </c>
      <c r="T74">
        <v>58.3</v>
      </c>
      <c r="U74">
        <v>0</v>
      </c>
      <c r="W74" t="s">
        <v>38</v>
      </c>
      <c r="X74">
        <f>IF(Merge1[[#This Row],[qc_status]]="PASS",1,0)</f>
        <v>0</v>
      </c>
      <c r="Y74" t="s">
        <v>175</v>
      </c>
      <c r="Z74" t="s">
        <v>61</v>
      </c>
    </row>
    <row r="75" spans="1:26" hidden="1" x14ac:dyDescent="0.35">
      <c r="A75" t="s">
        <v>176</v>
      </c>
      <c r="B75">
        <v>45013</v>
      </c>
      <c r="C75" t="s">
        <v>51</v>
      </c>
      <c r="D75" t="s">
        <v>1244</v>
      </c>
      <c r="E75" t="s">
        <v>1242</v>
      </c>
      <c r="F75" t="s">
        <v>24</v>
      </c>
      <c r="G75" t="s">
        <v>48</v>
      </c>
      <c r="H75" t="s">
        <v>33</v>
      </c>
      <c r="I75" t="s">
        <v>1258</v>
      </c>
      <c r="J75" t="s">
        <v>34</v>
      </c>
      <c r="K75">
        <v>685.8</v>
      </c>
      <c r="L75">
        <v>3084.7</v>
      </c>
      <c r="M75">
        <v>386.7</v>
      </c>
      <c r="N75">
        <v>344.7</v>
      </c>
      <c r="O75">
        <v>-42</v>
      </c>
      <c r="P75">
        <v>-0.1086</v>
      </c>
      <c r="Q75">
        <v>4.0999999999999996</v>
      </c>
      <c r="R75">
        <v>4.78</v>
      </c>
      <c r="S75">
        <v>68</v>
      </c>
      <c r="T75">
        <v>70.099999999999994</v>
      </c>
      <c r="U75">
        <v>0</v>
      </c>
      <c r="W75" t="s">
        <v>28</v>
      </c>
      <c r="X75">
        <f>IF(Merge1[[#This Row],[qc_status]]="PASS",1,0)</f>
        <v>1</v>
      </c>
      <c r="Y75" t="s">
        <v>177</v>
      </c>
      <c r="Z75" t="s">
        <v>66</v>
      </c>
    </row>
    <row r="76" spans="1:26" hidden="1" x14ac:dyDescent="0.35">
      <c r="A76" t="s">
        <v>178</v>
      </c>
      <c r="B76">
        <v>45014</v>
      </c>
      <c r="C76" t="s">
        <v>51</v>
      </c>
      <c r="D76" t="s">
        <v>1244</v>
      </c>
      <c r="E76" t="s">
        <v>1242</v>
      </c>
      <c r="F76" t="s">
        <v>37</v>
      </c>
      <c r="G76" t="s">
        <v>43</v>
      </c>
      <c r="H76" t="s">
        <v>44</v>
      </c>
      <c r="I76" t="s">
        <v>1255</v>
      </c>
      <c r="J76" t="s">
        <v>34</v>
      </c>
      <c r="K76">
        <v>1150.4000000000001</v>
      </c>
      <c r="L76">
        <v>5423.5</v>
      </c>
      <c r="M76">
        <v>726.4</v>
      </c>
      <c r="N76">
        <v>743.7</v>
      </c>
      <c r="O76">
        <v>17.3</v>
      </c>
      <c r="P76">
        <v>2.3800000000000002E-2</v>
      </c>
      <c r="Q76">
        <v>4</v>
      </c>
      <c r="R76">
        <v>4.3499999999999996</v>
      </c>
      <c r="S76">
        <v>62</v>
      </c>
      <c r="T76">
        <v>61.5</v>
      </c>
      <c r="U76">
        <v>0</v>
      </c>
      <c r="W76" t="s">
        <v>28</v>
      </c>
      <c r="X76">
        <f>IF(Merge1[[#This Row],[qc_status]]="PASS",1,0)</f>
        <v>1</v>
      </c>
      <c r="Y76" t="s">
        <v>179</v>
      </c>
    </row>
    <row r="77" spans="1:26" hidden="1" x14ac:dyDescent="0.35">
      <c r="A77" t="s">
        <v>180</v>
      </c>
      <c r="B77">
        <v>45016</v>
      </c>
      <c r="C77" t="s">
        <v>23</v>
      </c>
      <c r="D77" t="s">
        <v>1235</v>
      </c>
      <c r="E77" t="s">
        <v>1236</v>
      </c>
      <c r="F77" t="s">
        <v>92</v>
      </c>
      <c r="G77" t="s">
        <v>32</v>
      </c>
      <c r="H77" t="s">
        <v>33</v>
      </c>
      <c r="I77" t="s">
        <v>1258</v>
      </c>
      <c r="J77" t="s">
        <v>34</v>
      </c>
      <c r="K77">
        <v>698.1</v>
      </c>
      <c r="L77">
        <v>3339.1</v>
      </c>
      <c r="M77">
        <v>493.4</v>
      </c>
      <c r="N77">
        <v>486.5</v>
      </c>
      <c r="O77">
        <v>-6.9</v>
      </c>
      <c r="P77">
        <v>-1.4E-2</v>
      </c>
      <c r="Q77">
        <v>17.7</v>
      </c>
      <c r="R77">
        <v>17.899999999999999</v>
      </c>
      <c r="S77">
        <v>60.6</v>
      </c>
      <c r="T77">
        <v>61.5</v>
      </c>
      <c r="U77">
        <v>0</v>
      </c>
      <c r="W77" t="s">
        <v>28</v>
      </c>
      <c r="X77">
        <f>IF(Merge1[[#This Row],[qc_status]]="PASS",1,0)</f>
        <v>1</v>
      </c>
      <c r="Y77" t="s">
        <v>181</v>
      </c>
    </row>
    <row r="78" spans="1:26" hidden="1" x14ac:dyDescent="0.35">
      <c r="A78" t="s">
        <v>180</v>
      </c>
      <c r="B78">
        <v>45016</v>
      </c>
      <c r="C78" t="s">
        <v>23</v>
      </c>
      <c r="D78" t="s">
        <v>1235</v>
      </c>
      <c r="E78" t="s">
        <v>1236</v>
      </c>
      <c r="F78" t="s">
        <v>92</v>
      </c>
      <c r="G78" t="s">
        <v>32</v>
      </c>
      <c r="H78" t="s">
        <v>33</v>
      </c>
      <c r="I78" t="s">
        <v>1258</v>
      </c>
      <c r="J78" t="s">
        <v>34</v>
      </c>
      <c r="K78">
        <v>698.1</v>
      </c>
      <c r="L78">
        <v>3339.1</v>
      </c>
      <c r="M78">
        <v>493.4</v>
      </c>
      <c r="N78">
        <v>486.5</v>
      </c>
      <c r="O78">
        <v>-6.9</v>
      </c>
      <c r="P78">
        <v>-1.4E-2</v>
      </c>
      <c r="Q78">
        <v>17.7</v>
      </c>
      <c r="R78">
        <v>17.899999999999999</v>
      </c>
      <c r="S78">
        <v>60.6</v>
      </c>
      <c r="T78">
        <v>61.5</v>
      </c>
      <c r="U78">
        <v>0</v>
      </c>
      <c r="W78" t="s">
        <v>28</v>
      </c>
      <c r="X78">
        <f>IF(Merge1[[#This Row],[qc_status]]="PASS",1,0)</f>
        <v>1</v>
      </c>
      <c r="Y78" t="s">
        <v>181</v>
      </c>
    </row>
    <row r="79" spans="1:26" x14ac:dyDescent="0.35">
      <c r="A79" t="s">
        <v>182</v>
      </c>
      <c r="B79">
        <v>45020</v>
      </c>
      <c r="C79" t="s">
        <v>97</v>
      </c>
      <c r="D79" t="s">
        <v>1238</v>
      </c>
      <c r="E79" t="s">
        <v>1239</v>
      </c>
      <c r="F79" t="s">
        <v>54</v>
      </c>
      <c r="G79" t="s">
        <v>43</v>
      </c>
      <c r="H79" t="s">
        <v>33</v>
      </c>
      <c r="I79" t="s">
        <v>1258</v>
      </c>
      <c r="J79" t="s">
        <v>27</v>
      </c>
      <c r="K79">
        <v>647.79999999999995</v>
      </c>
      <c r="L79">
        <v>2506.6</v>
      </c>
      <c r="M79">
        <v>402.4</v>
      </c>
      <c r="N79">
        <v>395.9</v>
      </c>
      <c r="O79">
        <v>-6.5</v>
      </c>
      <c r="P79">
        <v>-1.6199999999999999E-2</v>
      </c>
      <c r="Q79">
        <v>17.3</v>
      </c>
      <c r="R79">
        <v>16.989999999999998</v>
      </c>
      <c r="S79" s="60">
        <v>68.5</v>
      </c>
      <c r="T79" s="60">
        <v>69.599999999999994</v>
      </c>
      <c r="U79">
        <v>0</v>
      </c>
      <c r="W79" t="s">
        <v>28</v>
      </c>
      <c r="X79">
        <f>IF(Merge1[[#This Row],[qc_status]]="PASS",1,0)</f>
        <v>1</v>
      </c>
      <c r="Y79" t="s">
        <v>183</v>
      </c>
    </row>
    <row r="80" spans="1:26" hidden="1" x14ac:dyDescent="0.35">
      <c r="A80" t="s">
        <v>184</v>
      </c>
      <c r="B80">
        <v>45021</v>
      </c>
      <c r="C80" t="s">
        <v>23</v>
      </c>
      <c r="D80" t="s">
        <v>1235</v>
      </c>
      <c r="E80" t="s">
        <v>1236</v>
      </c>
      <c r="F80" t="s">
        <v>24</v>
      </c>
      <c r="G80" t="s">
        <v>105</v>
      </c>
      <c r="H80" t="s">
        <v>33</v>
      </c>
      <c r="I80" t="s">
        <v>1258</v>
      </c>
      <c r="J80" t="s">
        <v>34</v>
      </c>
      <c r="K80">
        <v>572.20000000000005</v>
      </c>
      <c r="L80">
        <v>3119.5</v>
      </c>
      <c r="M80">
        <v>357.3</v>
      </c>
      <c r="N80">
        <v>367.2</v>
      </c>
      <c r="O80">
        <v>9.9</v>
      </c>
      <c r="P80">
        <v>2.7699999999999999E-2</v>
      </c>
      <c r="Q80">
        <v>13.1</v>
      </c>
      <c r="R80">
        <v>18.28</v>
      </c>
      <c r="S80">
        <v>64.3</v>
      </c>
      <c r="T80">
        <v>66.2</v>
      </c>
      <c r="U80">
        <v>0</v>
      </c>
      <c r="W80" t="s">
        <v>38</v>
      </c>
      <c r="X80">
        <f>IF(Merge1[[#This Row],[qc_status]]="PASS",1,0)</f>
        <v>0</v>
      </c>
      <c r="Y80" t="s">
        <v>185</v>
      </c>
    </row>
    <row r="81" spans="1:26" hidden="1" x14ac:dyDescent="0.35">
      <c r="A81" t="s">
        <v>184</v>
      </c>
      <c r="B81">
        <v>45021</v>
      </c>
      <c r="C81" t="s">
        <v>23</v>
      </c>
      <c r="D81" t="s">
        <v>1235</v>
      </c>
      <c r="E81" t="s">
        <v>1236</v>
      </c>
      <c r="F81" t="s">
        <v>24</v>
      </c>
      <c r="G81" t="s">
        <v>105</v>
      </c>
      <c r="H81" t="s">
        <v>33</v>
      </c>
      <c r="I81" t="s">
        <v>1258</v>
      </c>
      <c r="J81" t="s">
        <v>34</v>
      </c>
      <c r="K81">
        <v>572.20000000000005</v>
      </c>
      <c r="L81">
        <v>3119.5</v>
      </c>
      <c r="M81">
        <v>357.3</v>
      </c>
      <c r="N81">
        <v>367.2</v>
      </c>
      <c r="O81">
        <v>9.9</v>
      </c>
      <c r="P81">
        <v>2.7699999999999999E-2</v>
      </c>
      <c r="Q81">
        <v>13.1</v>
      </c>
      <c r="R81">
        <v>18.28</v>
      </c>
      <c r="S81">
        <v>64.3</v>
      </c>
      <c r="T81">
        <v>66.2</v>
      </c>
      <c r="U81">
        <v>0</v>
      </c>
      <c r="W81" t="s">
        <v>38</v>
      </c>
      <c r="X81">
        <f>IF(Merge1[[#This Row],[qc_status]]="PASS",1,0)</f>
        <v>0</v>
      </c>
      <c r="Y81" t="s">
        <v>185</v>
      </c>
    </row>
    <row r="82" spans="1:26" hidden="1" x14ac:dyDescent="0.35">
      <c r="A82" t="s">
        <v>186</v>
      </c>
      <c r="B82">
        <v>45021</v>
      </c>
      <c r="C82" t="s">
        <v>51</v>
      </c>
      <c r="D82" t="s">
        <v>1244</v>
      </c>
      <c r="E82" t="s">
        <v>1242</v>
      </c>
      <c r="F82" t="s">
        <v>92</v>
      </c>
      <c r="G82" t="s">
        <v>48</v>
      </c>
      <c r="H82" t="s">
        <v>55</v>
      </c>
      <c r="I82" t="s">
        <v>1253</v>
      </c>
      <c r="J82" t="s">
        <v>34</v>
      </c>
      <c r="K82">
        <v>548.20000000000005</v>
      </c>
      <c r="L82">
        <v>2436.9</v>
      </c>
      <c r="M82">
        <v>331.4</v>
      </c>
      <c r="N82">
        <v>340.2</v>
      </c>
      <c r="O82">
        <v>8.8000000000000007</v>
      </c>
      <c r="P82">
        <v>2.6599999999999999E-2</v>
      </c>
      <c r="Q82">
        <v>10.1</v>
      </c>
      <c r="R82">
        <v>11.64</v>
      </c>
      <c r="S82">
        <v>62.6</v>
      </c>
      <c r="T82">
        <v>64.400000000000006</v>
      </c>
      <c r="U82">
        <v>2</v>
      </c>
      <c r="W82" t="s">
        <v>28</v>
      </c>
      <c r="X82">
        <f>IF(Merge1[[#This Row],[qc_status]]="PASS",1,0)</f>
        <v>1</v>
      </c>
      <c r="Y82" t="s">
        <v>187</v>
      </c>
    </row>
    <row r="83" spans="1:26" x14ac:dyDescent="0.35">
      <c r="A83" t="s">
        <v>188</v>
      </c>
      <c r="B83">
        <v>45023</v>
      </c>
      <c r="C83" t="s">
        <v>97</v>
      </c>
      <c r="D83" t="s">
        <v>1238</v>
      </c>
      <c r="E83" t="s">
        <v>1239</v>
      </c>
      <c r="F83" t="s">
        <v>37</v>
      </c>
      <c r="G83" t="s">
        <v>105</v>
      </c>
      <c r="H83" t="s">
        <v>59</v>
      </c>
      <c r="I83" t="s">
        <v>1257</v>
      </c>
      <c r="J83" t="s">
        <v>27</v>
      </c>
      <c r="K83">
        <v>1191.5</v>
      </c>
      <c r="L83">
        <v>6461.7</v>
      </c>
      <c r="M83">
        <v>831.3</v>
      </c>
      <c r="N83">
        <v>855.6</v>
      </c>
      <c r="O83">
        <v>24.3</v>
      </c>
      <c r="P83">
        <v>2.92E-2</v>
      </c>
      <c r="Q83">
        <v>12.7</v>
      </c>
      <c r="R83">
        <v>14.02</v>
      </c>
      <c r="S83" s="60">
        <v>69.2</v>
      </c>
      <c r="T83" s="60">
        <v>69.900000000000006</v>
      </c>
      <c r="U83">
        <v>3</v>
      </c>
      <c r="V83" t="s">
        <v>45</v>
      </c>
      <c r="W83" t="s">
        <v>38</v>
      </c>
      <c r="X83">
        <f>IF(Merge1[[#This Row],[qc_status]]="PASS",1,0)</f>
        <v>0</v>
      </c>
      <c r="Y83" t="s">
        <v>189</v>
      </c>
      <c r="Z83" t="s">
        <v>40</v>
      </c>
    </row>
    <row r="84" spans="1:26" hidden="1" x14ac:dyDescent="0.35">
      <c r="A84" t="s">
        <v>190</v>
      </c>
      <c r="B84">
        <v>45026</v>
      </c>
      <c r="C84" t="s">
        <v>23</v>
      </c>
      <c r="D84" t="s">
        <v>1235</v>
      </c>
      <c r="E84" t="s">
        <v>1236</v>
      </c>
      <c r="F84" t="s">
        <v>92</v>
      </c>
      <c r="G84" t="s">
        <v>32</v>
      </c>
      <c r="H84" t="s">
        <v>44</v>
      </c>
      <c r="I84" t="s">
        <v>1255</v>
      </c>
      <c r="J84" t="s">
        <v>34</v>
      </c>
      <c r="K84">
        <v>768.7</v>
      </c>
      <c r="L84">
        <v>2888</v>
      </c>
      <c r="M84">
        <v>439.9</v>
      </c>
      <c r="N84">
        <v>449.8</v>
      </c>
      <c r="O84">
        <v>9.9</v>
      </c>
      <c r="P84">
        <v>2.2499999999999999E-2</v>
      </c>
      <c r="Q84">
        <v>13.8</v>
      </c>
      <c r="R84">
        <v>14.5</v>
      </c>
      <c r="S84">
        <v>69.5</v>
      </c>
      <c r="T84">
        <v>67.900000000000006</v>
      </c>
      <c r="U84">
        <v>0</v>
      </c>
      <c r="W84" t="s">
        <v>28</v>
      </c>
      <c r="X84">
        <f>IF(Merge1[[#This Row],[qc_status]]="PASS",1,0)</f>
        <v>1</v>
      </c>
      <c r="Y84" t="s">
        <v>191</v>
      </c>
    </row>
    <row r="85" spans="1:26" hidden="1" x14ac:dyDescent="0.35">
      <c r="A85" t="s">
        <v>190</v>
      </c>
      <c r="B85">
        <v>45026</v>
      </c>
      <c r="C85" t="s">
        <v>23</v>
      </c>
      <c r="D85" t="s">
        <v>1235</v>
      </c>
      <c r="E85" t="s">
        <v>1236</v>
      </c>
      <c r="F85" t="s">
        <v>92</v>
      </c>
      <c r="G85" t="s">
        <v>32</v>
      </c>
      <c r="H85" t="s">
        <v>44</v>
      </c>
      <c r="I85" t="s">
        <v>1255</v>
      </c>
      <c r="J85" t="s">
        <v>34</v>
      </c>
      <c r="K85">
        <v>768.7</v>
      </c>
      <c r="L85">
        <v>2888</v>
      </c>
      <c r="M85">
        <v>439.9</v>
      </c>
      <c r="N85">
        <v>449.8</v>
      </c>
      <c r="O85">
        <v>9.9</v>
      </c>
      <c r="P85">
        <v>2.2499999999999999E-2</v>
      </c>
      <c r="Q85">
        <v>13.8</v>
      </c>
      <c r="R85">
        <v>14.5</v>
      </c>
      <c r="S85">
        <v>69.5</v>
      </c>
      <c r="T85">
        <v>67.900000000000006</v>
      </c>
      <c r="U85">
        <v>0</v>
      </c>
      <c r="W85" t="s">
        <v>28</v>
      </c>
      <c r="X85">
        <f>IF(Merge1[[#This Row],[qc_status]]="PASS",1,0)</f>
        <v>1</v>
      </c>
      <c r="Y85" t="s">
        <v>191</v>
      </c>
    </row>
    <row r="86" spans="1:26" hidden="1" x14ac:dyDescent="0.35">
      <c r="A86" t="s">
        <v>192</v>
      </c>
      <c r="B86">
        <v>45026</v>
      </c>
      <c r="C86" t="s">
        <v>97</v>
      </c>
      <c r="D86" t="s">
        <v>1238</v>
      </c>
      <c r="E86" t="s">
        <v>1239</v>
      </c>
      <c r="F86" t="s">
        <v>24</v>
      </c>
      <c r="G86" t="s">
        <v>25</v>
      </c>
      <c r="H86" t="s">
        <v>55</v>
      </c>
      <c r="I86" t="s">
        <v>1253</v>
      </c>
      <c r="J86" t="s">
        <v>34</v>
      </c>
      <c r="K86">
        <v>483.7</v>
      </c>
      <c r="L86">
        <v>2544</v>
      </c>
      <c r="M86">
        <v>291.10000000000002</v>
      </c>
      <c r="N86">
        <v>298.7</v>
      </c>
      <c r="O86">
        <v>7.6</v>
      </c>
      <c r="P86">
        <v>2.6100000000000002E-2</v>
      </c>
      <c r="Q86">
        <v>14.9</v>
      </c>
      <c r="R86">
        <v>19.760000000000002</v>
      </c>
      <c r="S86">
        <v>67.400000000000006</v>
      </c>
      <c r="T86">
        <v>69.900000000000006</v>
      </c>
      <c r="U86">
        <v>2</v>
      </c>
      <c r="V86" t="s">
        <v>45</v>
      </c>
      <c r="W86" t="s">
        <v>38</v>
      </c>
      <c r="X86">
        <f>IF(Merge1[[#This Row],[qc_status]]="PASS",1,0)</f>
        <v>0</v>
      </c>
      <c r="Y86" t="s">
        <v>193</v>
      </c>
      <c r="Z86" t="s">
        <v>57</v>
      </c>
    </row>
    <row r="87" spans="1:26" hidden="1" x14ac:dyDescent="0.35">
      <c r="A87" t="s">
        <v>194</v>
      </c>
      <c r="B87">
        <v>45026</v>
      </c>
      <c r="C87" t="s">
        <v>31</v>
      </c>
      <c r="D87" t="s">
        <v>1241</v>
      </c>
      <c r="E87" t="s">
        <v>1242</v>
      </c>
      <c r="F87" t="s">
        <v>54</v>
      </c>
      <c r="G87" t="s">
        <v>105</v>
      </c>
      <c r="H87" t="s">
        <v>44</v>
      </c>
      <c r="I87" t="s">
        <v>1255</v>
      </c>
      <c r="J87" t="s">
        <v>34</v>
      </c>
      <c r="K87">
        <v>636.6</v>
      </c>
      <c r="L87">
        <v>2698.4</v>
      </c>
      <c r="M87">
        <v>435.4</v>
      </c>
      <c r="N87">
        <v>463.2</v>
      </c>
      <c r="O87">
        <v>27.8</v>
      </c>
      <c r="P87">
        <v>6.3799999999999996E-2</v>
      </c>
      <c r="Q87">
        <v>6.2</v>
      </c>
      <c r="R87">
        <v>8.68</v>
      </c>
      <c r="S87">
        <v>60.7</v>
      </c>
      <c r="T87">
        <v>63.1</v>
      </c>
      <c r="U87">
        <v>2</v>
      </c>
      <c r="W87" t="s">
        <v>28</v>
      </c>
      <c r="X87">
        <f>IF(Merge1[[#This Row],[qc_status]]="PASS",1,0)</f>
        <v>1</v>
      </c>
      <c r="Y87" t="s">
        <v>195</v>
      </c>
      <c r="Z87" t="s">
        <v>57</v>
      </c>
    </row>
    <row r="88" spans="1:26" hidden="1" x14ac:dyDescent="0.35">
      <c r="A88" t="s">
        <v>196</v>
      </c>
      <c r="B88">
        <v>45026</v>
      </c>
      <c r="C88" t="s">
        <v>97</v>
      </c>
      <c r="D88" t="s">
        <v>1238</v>
      </c>
      <c r="E88" t="s">
        <v>1239</v>
      </c>
      <c r="F88" t="s">
        <v>37</v>
      </c>
      <c r="G88" t="s">
        <v>32</v>
      </c>
      <c r="H88" t="s">
        <v>26</v>
      </c>
      <c r="I88" t="s">
        <v>1260</v>
      </c>
      <c r="J88" t="s">
        <v>34</v>
      </c>
      <c r="K88">
        <v>898</v>
      </c>
      <c r="L88">
        <v>4382.5</v>
      </c>
      <c r="M88">
        <v>562.70000000000005</v>
      </c>
      <c r="N88">
        <v>533.79999999999995</v>
      </c>
      <c r="O88">
        <v>-28.9</v>
      </c>
      <c r="P88">
        <v>-5.1400000000000001E-2</v>
      </c>
      <c r="Q88">
        <v>10.199999999999999</v>
      </c>
      <c r="R88">
        <v>8.82</v>
      </c>
      <c r="S88">
        <v>60.6</v>
      </c>
      <c r="T88">
        <v>61.1</v>
      </c>
      <c r="U88">
        <v>0</v>
      </c>
      <c r="W88" t="s">
        <v>28</v>
      </c>
      <c r="X88">
        <f>IF(Merge1[[#This Row],[qc_status]]="PASS",1,0)</f>
        <v>1</v>
      </c>
      <c r="Y88" t="s">
        <v>197</v>
      </c>
    </row>
    <row r="89" spans="1:26" x14ac:dyDescent="0.35">
      <c r="A89" t="s">
        <v>198</v>
      </c>
      <c r="B89">
        <v>45030</v>
      </c>
      <c r="C89" t="s">
        <v>97</v>
      </c>
      <c r="D89" t="s">
        <v>1238</v>
      </c>
      <c r="E89" t="s">
        <v>1239</v>
      </c>
      <c r="F89" t="s">
        <v>75</v>
      </c>
      <c r="G89" t="s">
        <v>89</v>
      </c>
      <c r="H89" t="s">
        <v>33</v>
      </c>
      <c r="I89" t="s">
        <v>1258</v>
      </c>
      <c r="J89" t="s">
        <v>27</v>
      </c>
      <c r="K89">
        <v>870.4</v>
      </c>
      <c r="L89">
        <v>4700.5</v>
      </c>
      <c r="M89">
        <v>517.9</v>
      </c>
      <c r="N89">
        <v>513</v>
      </c>
      <c r="O89">
        <v>-4.9000000000000004</v>
      </c>
      <c r="P89">
        <v>-9.4999999999999998E-3</v>
      </c>
      <c r="Q89">
        <v>11.2</v>
      </c>
      <c r="R89">
        <v>15.2</v>
      </c>
      <c r="S89" s="60">
        <v>60.2</v>
      </c>
      <c r="T89" s="60">
        <v>60.8</v>
      </c>
      <c r="U89">
        <v>3</v>
      </c>
      <c r="W89" t="s">
        <v>38</v>
      </c>
      <c r="X89">
        <f>IF(Merge1[[#This Row],[qc_status]]="PASS",1,0)</f>
        <v>0</v>
      </c>
      <c r="Y89" t="s">
        <v>199</v>
      </c>
      <c r="Z89" t="s">
        <v>40</v>
      </c>
    </row>
    <row r="90" spans="1:26" x14ac:dyDescent="0.35">
      <c r="A90" t="s">
        <v>200</v>
      </c>
      <c r="B90">
        <v>45030</v>
      </c>
      <c r="C90" t="s">
        <v>51</v>
      </c>
      <c r="D90" t="s">
        <v>1244</v>
      </c>
      <c r="E90" t="s">
        <v>1242</v>
      </c>
      <c r="F90" t="s">
        <v>37</v>
      </c>
      <c r="G90" t="s">
        <v>32</v>
      </c>
      <c r="H90" t="s">
        <v>55</v>
      </c>
      <c r="I90" t="s">
        <v>1253</v>
      </c>
      <c r="J90" t="s">
        <v>27</v>
      </c>
      <c r="K90">
        <v>470</v>
      </c>
      <c r="L90">
        <v>1704.7</v>
      </c>
      <c r="M90">
        <v>306.2</v>
      </c>
      <c r="N90">
        <v>304.39999999999998</v>
      </c>
      <c r="O90">
        <v>-1.8</v>
      </c>
      <c r="P90">
        <v>-5.8999999999999999E-3</v>
      </c>
      <c r="Q90">
        <v>16.399999999999999</v>
      </c>
      <c r="R90">
        <v>20.74</v>
      </c>
      <c r="S90" s="60">
        <v>68.400000000000006</v>
      </c>
      <c r="T90" s="60">
        <v>67.599999999999994</v>
      </c>
      <c r="U90">
        <v>1</v>
      </c>
      <c r="V90" t="s">
        <v>100</v>
      </c>
      <c r="W90" t="s">
        <v>28</v>
      </c>
      <c r="X90">
        <f>IF(Merge1[[#This Row],[qc_status]]="PASS",1,0)</f>
        <v>1</v>
      </c>
      <c r="Y90" t="s">
        <v>201</v>
      </c>
    </row>
    <row r="91" spans="1:26" x14ac:dyDescent="0.35">
      <c r="A91" t="s">
        <v>202</v>
      </c>
      <c r="B91">
        <v>45031</v>
      </c>
      <c r="C91" t="s">
        <v>31</v>
      </c>
      <c r="D91" t="s">
        <v>1241</v>
      </c>
      <c r="E91" t="s">
        <v>1242</v>
      </c>
      <c r="F91" t="s">
        <v>37</v>
      </c>
      <c r="G91" t="s">
        <v>105</v>
      </c>
      <c r="H91" t="s">
        <v>33</v>
      </c>
      <c r="I91" t="s">
        <v>1258</v>
      </c>
      <c r="J91" t="s">
        <v>27</v>
      </c>
      <c r="K91">
        <v>884.4</v>
      </c>
      <c r="L91">
        <v>4823</v>
      </c>
      <c r="M91">
        <v>540.20000000000005</v>
      </c>
      <c r="N91">
        <v>532.70000000000005</v>
      </c>
      <c r="O91">
        <v>-7.5</v>
      </c>
      <c r="P91">
        <v>-1.3899999999999999E-2</v>
      </c>
      <c r="Q91">
        <v>6.3</v>
      </c>
      <c r="R91">
        <v>8.0299999999999994</v>
      </c>
      <c r="S91" s="60">
        <v>66</v>
      </c>
      <c r="T91" s="60">
        <v>68.400000000000006</v>
      </c>
      <c r="U91">
        <v>1</v>
      </c>
      <c r="W91" t="s">
        <v>28</v>
      </c>
      <c r="X91">
        <f>IF(Merge1[[#This Row],[qc_status]]="PASS",1,0)</f>
        <v>1</v>
      </c>
      <c r="Y91" t="s">
        <v>203</v>
      </c>
      <c r="Z91" t="s">
        <v>57</v>
      </c>
    </row>
    <row r="92" spans="1:26" x14ac:dyDescent="0.35">
      <c r="A92" t="s">
        <v>204</v>
      </c>
      <c r="B92">
        <v>45031</v>
      </c>
      <c r="C92" t="s">
        <v>23</v>
      </c>
      <c r="D92" t="s">
        <v>1235</v>
      </c>
      <c r="E92" t="s">
        <v>1236</v>
      </c>
      <c r="F92" t="s">
        <v>37</v>
      </c>
      <c r="G92" t="s">
        <v>89</v>
      </c>
      <c r="H92" t="s">
        <v>26</v>
      </c>
      <c r="I92" t="s">
        <v>1260</v>
      </c>
      <c r="J92" t="s">
        <v>27</v>
      </c>
      <c r="K92">
        <v>1183.4000000000001</v>
      </c>
      <c r="L92">
        <v>4669.8999999999996</v>
      </c>
      <c r="M92">
        <v>735</v>
      </c>
      <c r="N92">
        <v>661.5</v>
      </c>
      <c r="O92">
        <v>-73.5</v>
      </c>
      <c r="P92">
        <v>-0.1</v>
      </c>
      <c r="Q92">
        <v>17</v>
      </c>
      <c r="R92">
        <v>17.13</v>
      </c>
      <c r="S92" s="60">
        <v>61.2</v>
      </c>
      <c r="T92" s="60">
        <v>62</v>
      </c>
      <c r="U92">
        <v>0</v>
      </c>
      <c r="W92" t="s">
        <v>28</v>
      </c>
      <c r="X92">
        <f>IF(Merge1[[#This Row],[qc_status]]="PASS",1,0)</f>
        <v>1</v>
      </c>
      <c r="Y92" t="s">
        <v>205</v>
      </c>
      <c r="Z92" t="s">
        <v>66</v>
      </c>
    </row>
    <row r="93" spans="1:26" x14ac:dyDescent="0.35">
      <c r="A93" t="s">
        <v>204</v>
      </c>
      <c r="B93">
        <v>45031</v>
      </c>
      <c r="C93" t="s">
        <v>23</v>
      </c>
      <c r="D93" t="s">
        <v>1235</v>
      </c>
      <c r="E93" t="s">
        <v>1236</v>
      </c>
      <c r="F93" t="s">
        <v>37</v>
      </c>
      <c r="G93" t="s">
        <v>89</v>
      </c>
      <c r="H93" t="s">
        <v>26</v>
      </c>
      <c r="I93" t="s">
        <v>1260</v>
      </c>
      <c r="J93" t="s">
        <v>27</v>
      </c>
      <c r="K93">
        <v>1183.4000000000001</v>
      </c>
      <c r="L93">
        <v>4669.8999999999996</v>
      </c>
      <c r="M93">
        <v>735</v>
      </c>
      <c r="N93">
        <v>661.5</v>
      </c>
      <c r="O93">
        <v>-73.5</v>
      </c>
      <c r="P93">
        <v>-0.1</v>
      </c>
      <c r="Q93">
        <v>17</v>
      </c>
      <c r="R93">
        <v>17.13</v>
      </c>
      <c r="S93" s="60">
        <v>61.2</v>
      </c>
      <c r="T93" s="60">
        <v>62</v>
      </c>
      <c r="U93">
        <v>0</v>
      </c>
      <c r="W93" t="s">
        <v>28</v>
      </c>
      <c r="X93">
        <f>IF(Merge1[[#This Row],[qc_status]]="PASS",1,0)</f>
        <v>1</v>
      </c>
      <c r="Y93" t="s">
        <v>205</v>
      </c>
      <c r="Z93" t="s">
        <v>66</v>
      </c>
    </row>
    <row r="94" spans="1:26" x14ac:dyDescent="0.35">
      <c r="A94" t="s">
        <v>206</v>
      </c>
      <c r="B94">
        <v>45032</v>
      </c>
      <c r="C94" t="s">
        <v>42</v>
      </c>
      <c r="D94" t="s">
        <v>1246</v>
      </c>
      <c r="E94" t="s">
        <v>1247</v>
      </c>
      <c r="F94" t="s">
        <v>54</v>
      </c>
      <c r="G94" t="s">
        <v>48</v>
      </c>
      <c r="H94" t="s">
        <v>33</v>
      </c>
      <c r="I94" t="s">
        <v>1258</v>
      </c>
      <c r="J94" t="s">
        <v>27</v>
      </c>
      <c r="K94">
        <v>469.6</v>
      </c>
      <c r="L94">
        <v>1804.6</v>
      </c>
      <c r="M94">
        <v>284.10000000000002</v>
      </c>
      <c r="N94">
        <v>284.8</v>
      </c>
      <c r="O94">
        <v>0.7</v>
      </c>
      <c r="P94">
        <v>2.5000000000000001E-3</v>
      </c>
      <c r="Q94">
        <v>7.2</v>
      </c>
      <c r="R94">
        <v>8.7200000000000006</v>
      </c>
      <c r="S94" s="60">
        <v>68.599999999999994</v>
      </c>
      <c r="T94" s="60">
        <v>68.3</v>
      </c>
      <c r="U94">
        <v>0</v>
      </c>
      <c r="W94" t="s">
        <v>28</v>
      </c>
      <c r="X94">
        <f>IF(Merge1[[#This Row],[qc_status]]="PASS",1,0)</f>
        <v>1</v>
      </c>
      <c r="Y94" t="s">
        <v>207</v>
      </c>
    </row>
    <row r="95" spans="1:26" x14ac:dyDescent="0.35">
      <c r="A95" t="s">
        <v>208</v>
      </c>
      <c r="B95">
        <v>45033</v>
      </c>
      <c r="C95" t="s">
        <v>42</v>
      </c>
      <c r="D95" t="s">
        <v>1246</v>
      </c>
      <c r="E95" t="s">
        <v>1247</v>
      </c>
      <c r="F95" t="s">
        <v>37</v>
      </c>
      <c r="G95" t="s">
        <v>32</v>
      </c>
      <c r="H95" t="s">
        <v>33</v>
      </c>
      <c r="I95" t="s">
        <v>1258</v>
      </c>
      <c r="J95" t="s">
        <v>27</v>
      </c>
      <c r="K95">
        <v>883</v>
      </c>
      <c r="L95">
        <v>4074.8</v>
      </c>
      <c r="M95">
        <v>595</v>
      </c>
      <c r="N95">
        <v>599</v>
      </c>
      <c r="O95">
        <v>4</v>
      </c>
      <c r="P95">
        <v>6.7000000000000002E-3</v>
      </c>
      <c r="Q95">
        <v>4.3</v>
      </c>
      <c r="R95">
        <v>5</v>
      </c>
      <c r="S95" s="60">
        <v>63.4</v>
      </c>
      <c r="T95" s="60">
        <v>61.5</v>
      </c>
      <c r="U95">
        <v>0</v>
      </c>
      <c r="W95" t="s">
        <v>28</v>
      </c>
      <c r="X95">
        <f>IF(Merge1[[#This Row],[qc_status]]="PASS",1,0)</f>
        <v>1</v>
      </c>
      <c r="Y95" t="s">
        <v>209</v>
      </c>
    </row>
    <row r="96" spans="1:26" x14ac:dyDescent="0.35">
      <c r="A96" t="s">
        <v>210</v>
      </c>
      <c r="B96">
        <v>45034</v>
      </c>
      <c r="C96" t="s">
        <v>42</v>
      </c>
      <c r="D96" t="s">
        <v>1246</v>
      </c>
      <c r="E96" t="s">
        <v>1247</v>
      </c>
      <c r="F96" t="s">
        <v>92</v>
      </c>
      <c r="G96" t="s">
        <v>48</v>
      </c>
      <c r="H96" t="s">
        <v>55</v>
      </c>
      <c r="I96" t="s">
        <v>1253</v>
      </c>
      <c r="J96" t="s">
        <v>27</v>
      </c>
      <c r="K96">
        <v>1112.0999999999999</v>
      </c>
      <c r="L96">
        <v>5734.5</v>
      </c>
      <c r="M96">
        <v>760</v>
      </c>
      <c r="N96">
        <v>745.8</v>
      </c>
      <c r="O96">
        <v>-14.2</v>
      </c>
      <c r="P96">
        <v>-1.8700000000000001E-2</v>
      </c>
      <c r="Q96">
        <v>17</v>
      </c>
      <c r="R96">
        <v>14.3</v>
      </c>
      <c r="S96" s="60">
        <v>62.5</v>
      </c>
      <c r="T96" s="60">
        <v>61.5</v>
      </c>
      <c r="U96">
        <v>0</v>
      </c>
      <c r="W96" t="s">
        <v>28</v>
      </c>
      <c r="X96">
        <f>IF(Merge1[[#This Row],[qc_status]]="PASS",1,0)</f>
        <v>1</v>
      </c>
      <c r="Y96" t="s">
        <v>211</v>
      </c>
    </row>
    <row r="97" spans="1:26" hidden="1" x14ac:dyDescent="0.35">
      <c r="A97" t="s">
        <v>212</v>
      </c>
      <c r="B97">
        <v>45036</v>
      </c>
      <c r="C97" t="s">
        <v>42</v>
      </c>
      <c r="D97" t="s">
        <v>1246</v>
      </c>
      <c r="E97" t="s">
        <v>1247</v>
      </c>
      <c r="F97" t="s">
        <v>24</v>
      </c>
      <c r="G97" t="s">
        <v>43</v>
      </c>
      <c r="H97" t="s">
        <v>33</v>
      </c>
      <c r="I97" t="s">
        <v>1258</v>
      </c>
      <c r="J97" t="s">
        <v>34</v>
      </c>
      <c r="K97">
        <v>781</v>
      </c>
      <c r="L97">
        <v>4027.9</v>
      </c>
      <c r="M97">
        <v>475.6</v>
      </c>
      <c r="N97">
        <v>495.7</v>
      </c>
      <c r="O97">
        <v>20.100000000000001</v>
      </c>
      <c r="P97">
        <v>4.2299999999999997E-2</v>
      </c>
      <c r="Q97">
        <v>4.2</v>
      </c>
      <c r="R97">
        <v>4.5</v>
      </c>
      <c r="S97">
        <v>61.7</v>
      </c>
      <c r="T97">
        <v>64</v>
      </c>
      <c r="U97">
        <v>0</v>
      </c>
      <c r="W97" t="s">
        <v>38</v>
      </c>
      <c r="X97">
        <f>IF(Merge1[[#This Row],[qc_status]]="PASS",1,0)</f>
        <v>0</v>
      </c>
      <c r="Y97" t="s">
        <v>213</v>
      </c>
      <c r="Z97" t="s">
        <v>57</v>
      </c>
    </row>
    <row r="98" spans="1:26" x14ac:dyDescent="0.35">
      <c r="A98" t="s">
        <v>214</v>
      </c>
      <c r="B98">
        <v>45037</v>
      </c>
      <c r="C98" t="s">
        <v>31</v>
      </c>
      <c r="D98" t="s">
        <v>1241</v>
      </c>
      <c r="E98" t="s">
        <v>1242</v>
      </c>
      <c r="F98" t="s">
        <v>92</v>
      </c>
      <c r="G98" t="s">
        <v>89</v>
      </c>
      <c r="H98" t="s">
        <v>44</v>
      </c>
      <c r="I98" t="s">
        <v>1255</v>
      </c>
      <c r="J98" t="s">
        <v>27</v>
      </c>
      <c r="K98">
        <v>769.2</v>
      </c>
      <c r="L98">
        <v>2967.6</v>
      </c>
      <c r="M98">
        <v>497.2</v>
      </c>
      <c r="N98">
        <v>452.5</v>
      </c>
      <c r="O98">
        <v>-44.7</v>
      </c>
      <c r="P98">
        <v>-8.9899999999999994E-2</v>
      </c>
      <c r="Q98">
        <v>13.5</v>
      </c>
      <c r="R98">
        <v>11.51</v>
      </c>
      <c r="S98" s="60">
        <v>63.2</v>
      </c>
      <c r="T98" s="60">
        <v>60.9</v>
      </c>
      <c r="U98">
        <v>1</v>
      </c>
      <c r="V98" t="s">
        <v>86</v>
      </c>
      <c r="W98" t="s">
        <v>38</v>
      </c>
      <c r="X98">
        <f>IF(Merge1[[#This Row],[qc_status]]="PASS",1,0)</f>
        <v>0</v>
      </c>
      <c r="Y98" t="s">
        <v>215</v>
      </c>
      <c r="Z98" t="s">
        <v>66</v>
      </c>
    </row>
    <row r="99" spans="1:26" hidden="1" x14ac:dyDescent="0.35">
      <c r="A99" t="s">
        <v>216</v>
      </c>
      <c r="B99">
        <v>45037</v>
      </c>
      <c r="C99" t="s">
        <v>23</v>
      </c>
      <c r="D99" t="s">
        <v>1235</v>
      </c>
      <c r="E99" t="s">
        <v>1236</v>
      </c>
      <c r="F99" t="s">
        <v>92</v>
      </c>
      <c r="G99" t="s">
        <v>43</v>
      </c>
      <c r="H99" t="s">
        <v>26</v>
      </c>
      <c r="I99" t="s">
        <v>1260</v>
      </c>
      <c r="J99" t="s">
        <v>34</v>
      </c>
      <c r="K99">
        <v>797.3</v>
      </c>
      <c r="L99">
        <v>3935.8</v>
      </c>
      <c r="M99">
        <v>467.9</v>
      </c>
      <c r="N99">
        <v>409.6</v>
      </c>
      <c r="O99">
        <v>-58.3</v>
      </c>
      <c r="P99">
        <v>-0.1246</v>
      </c>
      <c r="Q99">
        <v>17.8</v>
      </c>
      <c r="R99">
        <v>18.850000000000001</v>
      </c>
      <c r="S99">
        <v>68.900000000000006</v>
      </c>
      <c r="T99">
        <v>71.3</v>
      </c>
      <c r="U99">
        <v>1</v>
      </c>
      <c r="W99" t="s">
        <v>38</v>
      </c>
      <c r="X99">
        <f>IF(Merge1[[#This Row],[qc_status]]="PASS",1,0)</f>
        <v>0</v>
      </c>
      <c r="Y99" t="s">
        <v>217</v>
      </c>
      <c r="Z99" t="s">
        <v>66</v>
      </c>
    </row>
    <row r="100" spans="1:26" hidden="1" x14ac:dyDescent="0.35">
      <c r="A100" t="s">
        <v>216</v>
      </c>
      <c r="B100">
        <v>45037</v>
      </c>
      <c r="C100" t="s">
        <v>23</v>
      </c>
      <c r="D100" t="s">
        <v>1235</v>
      </c>
      <c r="E100" t="s">
        <v>1236</v>
      </c>
      <c r="F100" t="s">
        <v>92</v>
      </c>
      <c r="G100" t="s">
        <v>43</v>
      </c>
      <c r="H100" t="s">
        <v>26</v>
      </c>
      <c r="I100" t="s">
        <v>1260</v>
      </c>
      <c r="J100" t="s">
        <v>34</v>
      </c>
      <c r="K100">
        <v>797.3</v>
      </c>
      <c r="L100">
        <v>3935.8</v>
      </c>
      <c r="M100">
        <v>467.9</v>
      </c>
      <c r="N100">
        <v>409.6</v>
      </c>
      <c r="O100">
        <v>-58.3</v>
      </c>
      <c r="P100">
        <v>-0.1246</v>
      </c>
      <c r="Q100">
        <v>17.8</v>
      </c>
      <c r="R100">
        <v>18.850000000000001</v>
      </c>
      <c r="S100">
        <v>68.900000000000006</v>
      </c>
      <c r="T100">
        <v>71.3</v>
      </c>
      <c r="U100">
        <v>1</v>
      </c>
      <c r="W100" t="s">
        <v>38</v>
      </c>
      <c r="X100">
        <f>IF(Merge1[[#This Row],[qc_status]]="PASS",1,0)</f>
        <v>0</v>
      </c>
      <c r="Y100" t="s">
        <v>217</v>
      </c>
      <c r="Z100" t="s">
        <v>66</v>
      </c>
    </row>
    <row r="101" spans="1:26" x14ac:dyDescent="0.35">
      <c r="A101" t="s">
        <v>218</v>
      </c>
      <c r="B101">
        <v>45038</v>
      </c>
      <c r="C101" t="s">
        <v>31</v>
      </c>
      <c r="D101" t="s">
        <v>1241</v>
      </c>
      <c r="E101" t="s">
        <v>1242</v>
      </c>
      <c r="F101" t="s">
        <v>92</v>
      </c>
      <c r="G101" t="s">
        <v>89</v>
      </c>
      <c r="H101" t="s">
        <v>44</v>
      </c>
      <c r="I101" t="s">
        <v>1255</v>
      </c>
      <c r="J101" t="s">
        <v>27</v>
      </c>
      <c r="K101">
        <v>843</v>
      </c>
      <c r="L101">
        <v>4160.6000000000004</v>
      </c>
      <c r="M101">
        <v>488.7</v>
      </c>
      <c r="N101">
        <v>510</v>
      </c>
      <c r="O101">
        <v>21.3</v>
      </c>
      <c r="P101">
        <v>4.36E-2</v>
      </c>
      <c r="Q101">
        <v>15.9</v>
      </c>
      <c r="R101">
        <v>12.86</v>
      </c>
      <c r="S101" s="60">
        <v>60.9</v>
      </c>
      <c r="T101" s="60">
        <v>58.5</v>
      </c>
      <c r="U101">
        <v>0</v>
      </c>
      <c r="W101" t="s">
        <v>28</v>
      </c>
      <c r="X101">
        <f>IF(Merge1[[#This Row],[qc_status]]="PASS",1,0)</f>
        <v>1</v>
      </c>
      <c r="Y101" t="s">
        <v>219</v>
      </c>
      <c r="Z101" t="s">
        <v>61</v>
      </c>
    </row>
    <row r="102" spans="1:26" hidden="1" x14ac:dyDescent="0.35">
      <c r="A102" t="s">
        <v>220</v>
      </c>
      <c r="B102">
        <v>45038</v>
      </c>
      <c r="C102" t="s">
        <v>97</v>
      </c>
      <c r="D102" t="s">
        <v>1238</v>
      </c>
      <c r="E102" t="s">
        <v>1239</v>
      </c>
      <c r="F102" t="s">
        <v>54</v>
      </c>
      <c r="G102" t="s">
        <v>89</v>
      </c>
      <c r="H102" t="s">
        <v>26</v>
      </c>
      <c r="I102" t="s">
        <v>1260</v>
      </c>
      <c r="J102" t="s">
        <v>34</v>
      </c>
      <c r="K102">
        <v>1097.8</v>
      </c>
      <c r="L102">
        <v>4107.5</v>
      </c>
      <c r="M102">
        <v>651.5</v>
      </c>
      <c r="N102">
        <v>575.6</v>
      </c>
      <c r="O102">
        <v>-75.900000000000006</v>
      </c>
      <c r="P102">
        <v>-0.11650000000000001</v>
      </c>
      <c r="Q102">
        <v>13.4</v>
      </c>
      <c r="R102">
        <v>13.6</v>
      </c>
      <c r="S102">
        <v>66.099999999999994</v>
      </c>
      <c r="T102">
        <v>68.599999999999994</v>
      </c>
      <c r="U102">
        <v>0.5</v>
      </c>
      <c r="W102" t="s">
        <v>28</v>
      </c>
      <c r="X102">
        <f>IF(Merge1[[#This Row],[qc_status]]="PASS",1,0)</f>
        <v>1</v>
      </c>
      <c r="Y102" t="s">
        <v>221</v>
      </c>
      <c r="Z102" t="s">
        <v>66</v>
      </c>
    </row>
    <row r="103" spans="1:26" hidden="1" x14ac:dyDescent="0.35">
      <c r="A103" t="s">
        <v>222</v>
      </c>
      <c r="B103">
        <v>45039</v>
      </c>
      <c r="C103" t="s">
        <v>23</v>
      </c>
      <c r="D103" t="s">
        <v>1235</v>
      </c>
      <c r="E103" t="s">
        <v>1236</v>
      </c>
      <c r="F103" t="s">
        <v>92</v>
      </c>
      <c r="G103" t="s">
        <v>48</v>
      </c>
      <c r="H103" t="s">
        <v>55</v>
      </c>
      <c r="I103" t="s">
        <v>1253</v>
      </c>
      <c r="J103" t="s">
        <v>34</v>
      </c>
      <c r="K103">
        <v>537</v>
      </c>
      <c r="L103">
        <v>1981.9</v>
      </c>
      <c r="M103">
        <v>312.2</v>
      </c>
      <c r="N103">
        <v>306.2</v>
      </c>
      <c r="O103">
        <v>-6</v>
      </c>
      <c r="P103">
        <v>-1.9199999999999998E-2</v>
      </c>
      <c r="Q103">
        <v>17</v>
      </c>
      <c r="R103">
        <v>14.34</v>
      </c>
      <c r="S103">
        <v>69.7</v>
      </c>
      <c r="T103">
        <v>71.2</v>
      </c>
      <c r="U103">
        <v>2</v>
      </c>
      <c r="V103" t="s">
        <v>86</v>
      </c>
      <c r="W103" t="s">
        <v>28</v>
      </c>
      <c r="X103">
        <f>IF(Merge1[[#This Row],[qc_status]]="PASS",1,0)</f>
        <v>1</v>
      </c>
      <c r="Y103" t="s">
        <v>223</v>
      </c>
    </row>
    <row r="104" spans="1:26" hidden="1" x14ac:dyDescent="0.35">
      <c r="A104" t="s">
        <v>222</v>
      </c>
      <c r="B104">
        <v>45039</v>
      </c>
      <c r="C104" t="s">
        <v>23</v>
      </c>
      <c r="D104" t="s">
        <v>1235</v>
      </c>
      <c r="E104" t="s">
        <v>1236</v>
      </c>
      <c r="F104" t="s">
        <v>92</v>
      </c>
      <c r="G104" t="s">
        <v>48</v>
      </c>
      <c r="H104" t="s">
        <v>55</v>
      </c>
      <c r="I104" t="s">
        <v>1253</v>
      </c>
      <c r="J104" t="s">
        <v>34</v>
      </c>
      <c r="K104">
        <v>537</v>
      </c>
      <c r="L104">
        <v>1981.9</v>
      </c>
      <c r="M104">
        <v>312.2</v>
      </c>
      <c r="N104">
        <v>306.2</v>
      </c>
      <c r="O104">
        <v>-6</v>
      </c>
      <c r="P104">
        <v>-1.9199999999999998E-2</v>
      </c>
      <c r="Q104">
        <v>17</v>
      </c>
      <c r="R104">
        <v>14.34</v>
      </c>
      <c r="S104">
        <v>69.7</v>
      </c>
      <c r="T104">
        <v>71.2</v>
      </c>
      <c r="U104">
        <v>2</v>
      </c>
      <c r="V104" t="s">
        <v>86</v>
      </c>
      <c r="W104" t="s">
        <v>28</v>
      </c>
      <c r="X104">
        <f>IF(Merge1[[#This Row],[qc_status]]="PASS",1,0)</f>
        <v>1</v>
      </c>
      <c r="Y104" t="s">
        <v>223</v>
      </c>
    </row>
    <row r="105" spans="1:26" x14ac:dyDescent="0.35">
      <c r="A105" t="s">
        <v>224</v>
      </c>
      <c r="B105">
        <v>45039</v>
      </c>
      <c r="C105" t="s">
        <v>42</v>
      </c>
      <c r="D105" t="s">
        <v>1246</v>
      </c>
      <c r="E105" t="s">
        <v>1247</v>
      </c>
      <c r="F105" t="s">
        <v>54</v>
      </c>
      <c r="G105" t="s">
        <v>89</v>
      </c>
      <c r="H105" t="s">
        <v>59</v>
      </c>
      <c r="I105" t="s">
        <v>1257</v>
      </c>
      <c r="J105" t="s">
        <v>27</v>
      </c>
      <c r="K105">
        <v>1039.9000000000001</v>
      </c>
      <c r="L105">
        <v>4010.6</v>
      </c>
      <c r="M105">
        <v>717.4</v>
      </c>
      <c r="N105">
        <v>698.3</v>
      </c>
      <c r="O105">
        <v>-19.100000000000001</v>
      </c>
      <c r="P105">
        <v>-2.6599999999999999E-2</v>
      </c>
      <c r="Q105">
        <v>4.2</v>
      </c>
      <c r="R105">
        <v>4.8899999999999997</v>
      </c>
      <c r="S105" s="60">
        <v>65.5</v>
      </c>
      <c r="T105" s="60">
        <v>64.7</v>
      </c>
      <c r="U105">
        <v>5</v>
      </c>
      <c r="V105" t="s">
        <v>100</v>
      </c>
      <c r="W105" t="s">
        <v>38</v>
      </c>
      <c r="X105">
        <f>IF(Merge1[[#This Row],[qc_status]]="PASS",1,0)</f>
        <v>0</v>
      </c>
      <c r="Y105" t="s">
        <v>225</v>
      </c>
      <c r="Z105" t="s">
        <v>40</v>
      </c>
    </row>
    <row r="106" spans="1:26" hidden="1" x14ac:dyDescent="0.35">
      <c r="A106" t="s">
        <v>226</v>
      </c>
      <c r="B106">
        <v>45041</v>
      </c>
      <c r="C106" t="s">
        <v>51</v>
      </c>
      <c r="D106" t="s">
        <v>1244</v>
      </c>
      <c r="E106" t="s">
        <v>1242</v>
      </c>
      <c r="F106" t="s">
        <v>54</v>
      </c>
      <c r="G106" t="s">
        <v>105</v>
      </c>
      <c r="H106" t="s">
        <v>26</v>
      </c>
      <c r="I106" t="s">
        <v>1260</v>
      </c>
      <c r="J106" t="s">
        <v>34</v>
      </c>
      <c r="K106">
        <v>691.7</v>
      </c>
      <c r="L106">
        <v>2773.2</v>
      </c>
      <c r="M106">
        <v>469.9</v>
      </c>
      <c r="N106">
        <v>479.7</v>
      </c>
      <c r="O106">
        <v>9.8000000000000007</v>
      </c>
      <c r="P106">
        <v>2.0899999999999998E-2</v>
      </c>
      <c r="Q106">
        <v>8.5</v>
      </c>
      <c r="R106">
        <v>8.0399999999999991</v>
      </c>
      <c r="S106">
        <v>68.3</v>
      </c>
      <c r="T106">
        <v>66.099999999999994</v>
      </c>
      <c r="U106">
        <v>0</v>
      </c>
      <c r="W106" t="s">
        <v>38</v>
      </c>
      <c r="X106">
        <f>IF(Merge1[[#This Row],[qc_status]]="PASS",1,0)</f>
        <v>0</v>
      </c>
      <c r="Y106" t="s">
        <v>227</v>
      </c>
      <c r="Z106" t="s">
        <v>61</v>
      </c>
    </row>
    <row r="107" spans="1:26" x14ac:dyDescent="0.35">
      <c r="A107" t="s">
        <v>228</v>
      </c>
      <c r="B107">
        <v>45044</v>
      </c>
      <c r="C107" t="s">
        <v>23</v>
      </c>
      <c r="D107" t="s">
        <v>1235</v>
      </c>
      <c r="E107" t="s">
        <v>1236</v>
      </c>
      <c r="F107" t="s">
        <v>54</v>
      </c>
      <c r="G107" t="s">
        <v>25</v>
      </c>
      <c r="H107" t="s">
        <v>44</v>
      </c>
      <c r="I107" t="s">
        <v>1255</v>
      </c>
      <c r="J107" t="s">
        <v>27</v>
      </c>
      <c r="K107">
        <v>1009.9</v>
      </c>
      <c r="L107">
        <v>5169.7</v>
      </c>
      <c r="M107">
        <v>649.1</v>
      </c>
      <c r="N107">
        <v>646.70000000000005</v>
      </c>
      <c r="O107">
        <v>-2.4</v>
      </c>
      <c r="P107">
        <v>-3.7000000000000002E-3</v>
      </c>
      <c r="Q107">
        <v>17.100000000000001</v>
      </c>
      <c r="R107">
        <v>22.78</v>
      </c>
      <c r="S107" s="60">
        <v>61.5</v>
      </c>
      <c r="T107" s="60">
        <v>59.4</v>
      </c>
      <c r="U107">
        <v>3</v>
      </c>
      <c r="V107" t="s">
        <v>86</v>
      </c>
      <c r="W107" t="s">
        <v>38</v>
      </c>
      <c r="X107">
        <f>IF(Merge1[[#This Row],[qc_status]]="PASS",1,0)</f>
        <v>0</v>
      </c>
      <c r="Y107" t="s">
        <v>229</v>
      </c>
      <c r="Z107" t="s">
        <v>61</v>
      </c>
    </row>
    <row r="108" spans="1:26" x14ac:dyDescent="0.35">
      <c r="A108" t="s">
        <v>228</v>
      </c>
      <c r="B108">
        <v>45044</v>
      </c>
      <c r="C108" t="s">
        <v>23</v>
      </c>
      <c r="D108" t="s">
        <v>1235</v>
      </c>
      <c r="E108" t="s">
        <v>1236</v>
      </c>
      <c r="F108" t="s">
        <v>54</v>
      </c>
      <c r="G108" t="s">
        <v>25</v>
      </c>
      <c r="H108" t="s">
        <v>44</v>
      </c>
      <c r="I108" t="s">
        <v>1255</v>
      </c>
      <c r="J108" t="s">
        <v>27</v>
      </c>
      <c r="K108">
        <v>1009.9</v>
      </c>
      <c r="L108">
        <v>5169.7</v>
      </c>
      <c r="M108">
        <v>649.1</v>
      </c>
      <c r="N108">
        <v>646.70000000000005</v>
      </c>
      <c r="O108">
        <v>-2.4</v>
      </c>
      <c r="P108">
        <v>-3.7000000000000002E-3</v>
      </c>
      <c r="Q108">
        <v>17.100000000000001</v>
      </c>
      <c r="R108">
        <v>22.78</v>
      </c>
      <c r="S108" s="60">
        <v>61.5</v>
      </c>
      <c r="T108" s="60">
        <v>59.4</v>
      </c>
      <c r="U108">
        <v>3</v>
      </c>
      <c r="V108" t="s">
        <v>86</v>
      </c>
      <c r="W108" t="s">
        <v>38</v>
      </c>
      <c r="X108">
        <f>IF(Merge1[[#This Row],[qc_status]]="PASS",1,0)</f>
        <v>0</v>
      </c>
      <c r="Y108" t="s">
        <v>229</v>
      </c>
      <c r="Z108" t="s">
        <v>61</v>
      </c>
    </row>
    <row r="109" spans="1:26" x14ac:dyDescent="0.35">
      <c r="A109" t="s">
        <v>230</v>
      </c>
      <c r="B109">
        <v>45047</v>
      </c>
      <c r="C109" t="s">
        <v>31</v>
      </c>
      <c r="D109" t="s">
        <v>1241</v>
      </c>
      <c r="E109" t="s">
        <v>1242</v>
      </c>
      <c r="F109" t="s">
        <v>75</v>
      </c>
      <c r="G109" t="s">
        <v>89</v>
      </c>
      <c r="H109" t="s">
        <v>33</v>
      </c>
      <c r="I109" t="s">
        <v>1258</v>
      </c>
      <c r="J109" t="s">
        <v>27</v>
      </c>
      <c r="K109">
        <v>450.6</v>
      </c>
      <c r="L109">
        <v>2413.8000000000002</v>
      </c>
      <c r="M109">
        <v>309.5</v>
      </c>
      <c r="N109">
        <v>313.89999999999998</v>
      </c>
      <c r="O109">
        <v>4.4000000000000004</v>
      </c>
      <c r="P109">
        <v>1.4200000000000001E-2</v>
      </c>
      <c r="Q109">
        <v>14.6</v>
      </c>
      <c r="R109">
        <v>18.91</v>
      </c>
      <c r="S109" s="60">
        <v>66.2</v>
      </c>
      <c r="T109" s="60">
        <v>65.400000000000006</v>
      </c>
      <c r="U109">
        <v>0</v>
      </c>
      <c r="W109" t="s">
        <v>28</v>
      </c>
      <c r="X109">
        <f>IF(Merge1[[#This Row],[qc_status]]="PASS",1,0)</f>
        <v>1</v>
      </c>
      <c r="Y109" t="s">
        <v>231</v>
      </c>
    </row>
    <row r="110" spans="1:26" x14ac:dyDescent="0.35">
      <c r="A110" t="s">
        <v>232</v>
      </c>
      <c r="B110">
        <v>45049</v>
      </c>
      <c r="C110" t="s">
        <v>31</v>
      </c>
      <c r="D110" t="s">
        <v>1241</v>
      </c>
      <c r="E110" t="s">
        <v>1242</v>
      </c>
      <c r="F110" t="s">
        <v>54</v>
      </c>
      <c r="G110" t="s">
        <v>89</v>
      </c>
      <c r="H110" t="s">
        <v>55</v>
      </c>
      <c r="I110" t="s">
        <v>1253</v>
      </c>
      <c r="J110" t="s">
        <v>27</v>
      </c>
      <c r="K110">
        <v>865</v>
      </c>
      <c r="L110">
        <v>3149.6</v>
      </c>
      <c r="M110">
        <v>592.9</v>
      </c>
      <c r="N110">
        <v>598.20000000000005</v>
      </c>
      <c r="O110">
        <v>5.3</v>
      </c>
      <c r="P110">
        <v>8.8999999999999999E-3</v>
      </c>
      <c r="Q110">
        <v>6.7</v>
      </c>
      <c r="R110">
        <v>6.27</v>
      </c>
      <c r="S110" s="60">
        <v>64.3</v>
      </c>
      <c r="T110" s="60">
        <v>62.7</v>
      </c>
      <c r="U110">
        <v>0</v>
      </c>
      <c r="W110" t="s">
        <v>28</v>
      </c>
      <c r="X110">
        <f>IF(Merge1[[#This Row],[qc_status]]="PASS",1,0)</f>
        <v>1</v>
      </c>
      <c r="Y110" t="s">
        <v>233</v>
      </c>
    </row>
    <row r="111" spans="1:26" hidden="1" x14ac:dyDescent="0.35">
      <c r="A111" t="s">
        <v>234</v>
      </c>
      <c r="B111">
        <v>45051</v>
      </c>
      <c r="C111" t="s">
        <v>97</v>
      </c>
      <c r="D111" t="s">
        <v>1238</v>
      </c>
      <c r="E111" t="s">
        <v>1239</v>
      </c>
      <c r="F111" t="s">
        <v>75</v>
      </c>
      <c r="G111" t="s">
        <v>105</v>
      </c>
      <c r="H111" t="s">
        <v>55</v>
      </c>
      <c r="I111" t="s">
        <v>1253</v>
      </c>
      <c r="J111" t="s">
        <v>34</v>
      </c>
      <c r="K111">
        <v>496.4</v>
      </c>
      <c r="L111">
        <v>1835.2</v>
      </c>
      <c r="M111">
        <v>278</v>
      </c>
      <c r="N111">
        <v>275.10000000000002</v>
      </c>
      <c r="O111">
        <v>-2.9</v>
      </c>
      <c r="P111">
        <v>-1.04E-2</v>
      </c>
      <c r="Q111">
        <v>15.4</v>
      </c>
      <c r="R111">
        <v>15.69</v>
      </c>
      <c r="S111">
        <v>66.7</v>
      </c>
      <c r="T111">
        <v>66</v>
      </c>
      <c r="U111">
        <v>0</v>
      </c>
      <c r="W111" t="s">
        <v>28</v>
      </c>
      <c r="X111">
        <f>IF(Merge1[[#This Row],[qc_status]]="PASS",1,0)</f>
        <v>1</v>
      </c>
      <c r="Y111" t="s">
        <v>235</v>
      </c>
    </row>
    <row r="112" spans="1:26" x14ac:dyDescent="0.35">
      <c r="A112" t="s">
        <v>236</v>
      </c>
      <c r="B112">
        <v>45054</v>
      </c>
      <c r="C112" t="s">
        <v>51</v>
      </c>
      <c r="D112" t="s">
        <v>1244</v>
      </c>
      <c r="E112" t="s">
        <v>1242</v>
      </c>
      <c r="F112" t="s">
        <v>92</v>
      </c>
      <c r="G112" t="s">
        <v>25</v>
      </c>
      <c r="H112" t="s">
        <v>44</v>
      </c>
      <c r="I112" t="s">
        <v>1255</v>
      </c>
      <c r="J112" t="s">
        <v>27</v>
      </c>
      <c r="K112">
        <v>1167.2</v>
      </c>
      <c r="L112">
        <v>5517.5</v>
      </c>
      <c r="M112">
        <v>680.2</v>
      </c>
      <c r="N112">
        <v>670.5</v>
      </c>
      <c r="O112">
        <v>-9.6999999999999993</v>
      </c>
      <c r="P112">
        <v>-1.43E-2</v>
      </c>
      <c r="Q112">
        <v>16.399999999999999</v>
      </c>
      <c r="R112">
        <v>13.74</v>
      </c>
      <c r="S112" s="60">
        <v>66.400000000000006</v>
      </c>
      <c r="T112" s="60">
        <v>65.8</v>
      </c>
      <c r="U112">
        <v>0</v>
      </c>
      <c r="W112" t="s">
        <v>28</v>
      </c>
      <c r="X112">
        <f>IF(Merge1[[#This Row],[qc_status]]="PASS",1,0)</f>
        <v>1</v>
      </c>
      <c r="Y112" t="s">
        <v>237</v>
      </c>
    </row>
    <row r="113" spans="1:26" x14ac:dyDescent="0.35">
      <c r="A113" t="s">
        <v>238</v>
      </c>
      <c r="B113">
        <v>45056</v>
      </c>
      <c r="C113" t="s">
        <v>51</v>
      </c>
      <c r="D113" t="s">
        <v>1244</v>
      </c>
      <c r="E113" t="s">
        <v>1242</v>
      </c>
      <c r="F113" t="s">
        <v>24</v>
      </c>
      <c r="G113" t="s">
        <v>48</v>
      </c>
      <c r="H113" t="s">
        <v>55</v>
      </c>
      <c r="I113" t="s">
        <v>1253</v>
      </c>
      <c r="J113" t="s">
        <v>27</v>
      </c>
      <c r="K113">
        <v>476.7</v>
      </c>
      <c r="L113">
        <v>1832.6</v>
      </c>
      <c r="M113">
        <v>283.60000000000002</v>
      </c>
      <c r="N113">
        <v>290.60000000000002</v>
      </c>
      <c r="O113">
        <v>7</v>
      </c>
      <c r="P113">
        <v>2.47E-2</v>
      </c>
      <c r="Q113">
        <v>10.6</v>
      </c>
      <c r="R113">
        <v>13.38</v>
      </c>
      <c r="S113" s="60">
        <v>67.7</v>
      </c>
      <c r="T113" s="60">
        <v>67.8</v>
      </c>
      <c r="U113">
        <v>5</v>
      </c>
      <c r="V113" t="s">
        <v>239</v>
      </c>
      <c r="W113" t="s">
        <v>38</v>
      </c>
      <c r="X113">
        <f>IF(Merge1[[#This Row],[qc_status]]="PASS",1,0)</f>
        <v>0</v>
      </c>
      <c r="Y113" t="s">
        <v>240</v>
      </c>
      <c r="Z113" t="s">
        <v>40</v>
      </c>
    </row>
    <row r="114" spans="1:26" hidden="1" x14ac:dyDescent="0.35">
      <c r="A114" t="s">
        <v>241</v>
      </c>
      <c r="B114">
        <v>45062</v>
      </c>
      <c r="C114" t="s">
        <v>31</v>
      </c>
      <c r="D114" t="s">
        <v>1241</v>
      </c>
      <c r="E114" t="s">
        <v>1242</v>
      </c>
      <c r="F114" t="s">
        <v>75</v>
      </c>
      <c r="G114" t="s">
        <v>25</v>
      </c>
      <c r="H114" t="s">
        <v>55</v>
      </c>
      <c r="I114" t="s">
        <v>1253</v>
      </c>
      <c r="J114" t="s">
        <v>34</v>
      </c>
      <c r="K114">
        <v>862.5</v>
      </c>
      <c r="L114">
        <v>4072.7</v>
      </c>
      <c r="M114">
        <v>540.1</v>
      </c>
      <c r="N114">
        <v>534</v>
      </c>
      <c r="O114">
        <v>-6.1</v>
      </c>
      <c r="P114">
        <v>-1.1299999999999999E-2</v>
      </c>
      <c r="Q114">
        <v>8.9</v>
      </c>
      <c r="R114">
        <v>7.93</v>
      </c>
      <c r="S114">
        <v>68.599999999999994</v>
      </c>
      <c r="T114">
        <v>68.5</v>
      </c>
      <c r="U114">
        <v>0</v>
      </c>
      <c r="W114" t="s">
        <v>28</v>
      </c>
      <c r="X114">
        <f>IF(Merge1[[#This Row],[qc_status]]="PASS",1,0)</f>
        <v>1</v>
      </c>
      <c r="Y114" t="s">
        <v>242</v>
      </c>
    </row>
    <row r="115" spans="1:26" hidden="1" x14ac:dyDescent="0.35">
      <c r="A115" t="s">
        <v>243</v>
      </c>
      <c r="B115">
        <v>45065</v>
      </c>
      <c r="C115" t="s">
        <v>31</v>
      </c>
      <c r="D115" t="s">
        <v>1241</v>
      </c>
      <c r="E115" t="s">
        <v>1242</v>
      </c>
      <c r="F115" t="s">
        <v>24</v>
      </c>
      <c r="G115" t="s">
        <v>89</v>
      </c>
      <c r="H115" t="s">
        <v>55</v>
      </c>
      <c r="I115" t="s">
        <v>1253</v>
      </c>
      <c r="J115" t="s">
        <v>34</v>
      </c>
      <c r="K115">
        <v>1023.6</v>
      </c>
      <c r="L115">
        <v>5200.3</v>
      </c>
      <c r="M115">
        <v>578.29999999999995</v>
      </c>
      <c r="N115">
        <v>571.4</v>
      </c>
      <c r="O115">
        <v>-6.9</v>
      </c>
      <c r="P115">
        <v>-1.1900000000000001E-2</v>
      </c>
      <c r="Q115">
        <v>17</v>
      </c>
      <c r="R115">
        <v>20.63</v>
      </c>
      <c r="S115">
        <v>64</v>
      </c>
      <c r="T115">
        <v>65.599999999999994</v>
      </c>
      <c r="U115">
        <v>0.5</v>
      </c>
      <c r="W115" t="s">
        <v>28</v>
      </c>
      <c r="X115">
        <f>IF(Merge1[[#This Row],[qc_status]]="PASS",1,0)</f>
        <v>1</v>
      </c>
      <c r="Y115" t="s">
        <v>244</v>
      </c>
    </row>
    <row r="116" spans="1:26" x14ac:dyDescent="0.35">
      <c r="A116" t="s">
        <v>245</v>
      </c>
      <c r="B116">
        <v>45067</v>
      </c>
      <c r="C116" t="s">
        <v>51</v>
      </c>
      <c r="D116" t="s">
        <v>1244</v>
      </c>
      <c r="E116" t="s">
        <v>1242</v>
      </c>
      <c r="F116" t="s">
        <v>37</v>
      </c>
      <c r="G116" t="s">
        <v>89</v>
      </c>
      <c r="H116" t="s">
        <v>33</v>
      </c>
      <c r="I116" t="s">
        <v>1258</v>
      </c>
      <c r="J116" t="s">
        <v>27</v>
      </c>
      <c r="K116">
        <v>1061.3</v>
      </c>
      <c r="L116">
        <v>5703.3</v>
      </c>
      <c r="M116">
        <v>670.2</v>
      </c>
      <c r="N116">
        <v>720.1</v>
      </c>
      <c r="O116">
        <v>49.9</v>
      </c>
      <c r="P116">
        <v>7.4499999999999997E-2</v>
      </c>
      <c r="Q116">
        <v>10.7</v>
      </c>
      <c r="R116">
        <v>9.65</v>
      </c>
      <c r="S116" s="60">
        <v>60.7</v>
      </c>
      <c r="T116" s="60">
        <v>59.4</v>
      </c>
      <c r="U116">
        <v>0.5</v>
      </c>
      <c r="W116" t="s">
        <v>28</v>
      </c>
      <c r="X116">
        <f>IF(Merge1[[#This Row],[qc_status]]="PASS",1,0)</f>
        <v>1</v>
      </c>
      <c r="Y116" t="s">
        <v>246</v>
      </c>
    </row>
    <row r="117" spans="1:26" hidden="1" x14ac:dyDescent="0.35">
      <c r="A117" t="s">
        <v>247</v>
      </c>
      <c r="B117">
        <v>45068</v>
      </c>
      <c r="C117" t="s">
        <v>97</v>
      </c>
      <c r="D117" t="s">
        <v>1238</v>
      </c>
      <c r="E117" t="s">
        <v>1239</v>
      </c>
      <c r="F117" t="s">
        <v>37</v>
      </c>
      <c r="G117" t="s">
        <v>43</v>
      </c>
      <c r="H117" t="s">
        <v>33</v>
      </c>
      <c r="I117" t="s">
        <v>1258</v>
      </c>
      <c r="J117" t="s">
        <v>34</v>
      </c>
      <c r="K117">
        <v>952.9</v>
      </c>
      <c r="L117">
        <v>3594</v>
      </c>
      <c r="M117">
        <v>602.4</v>
      </c>
      <c r="N117">
        <v>595.9</v>
      </c>
      <c r="O117">
        <v>-6.5</v>
      </c>
      <c r="P117">
        <v>-1.0800000000000001E-2</v>
      </c>
      <c r="Q117">
        <v>13.6</v>
      </c>
      <c r="R117">
        <v>14.86</v>
      </c>
      <c r="S117">
        <v>66</v>
      </c>
      <c r="T117">
        <v>66.2</v>
      </c>
      <c r="U117">
        <v>2</v>
      </c>
      <c r="W117" t="s">
        <v>28</v>
      </c>
      <c r="X117">
        <f>IF(Merge1[[#This Row],[qc_status]]="PASS",1,0)</f>
        <v>1</v>
      </c>
      <c r="Y117" t="s">
        <v>248</v>
      </c>
    </row>
    <row r="118" spans="1:26" x14ac:dyDescent="0.35">
      <c r="A118" t="s">
        <v>249</v>
      </c>
      <c r="B118">
        <v>45069</v>
      </c>
      <c r="C118" t="s">
        <v>97</v>
      </c>
      <c r="D118" t="s">
        <v>1238</v>
      </c>
      <c r="E118" t="s">
        <v>1239</v>
      </c>
      <c r="F118" t="s">
        <v>37</v>
      </c>
      <c r="G118" t="s">
        <v>25</v>
      </c>
      <c r="H118" t="s">
        <v>26</v>
      </c>
      <c r="I118" t="s">
        <v>1260</v>
      </c>
      <c r="J118" t="s">
        <v>27</v>
      </c>
      <c r="K118">
        <v>985.3</v>
      </c>
      <c r="L118">
        <v>4399.3</v>
      </c>
      <c r="M118">
        <v>637.79999999999995</v>
      </c>
      <c r="N118">
        <v>645.70000000000005</v>
      </c>
      <c r="O118">
        <v>7.9</v>
      </c>
      <c r="P118">
        <v>1.24E-2</v>
      </c>
      <c r="Q118">
        <v>10.4</v>
      </c>
      <c r="R118">
        <v>13.71</v>
      </c>
      <c r="S118" s="60">
        <v>61.7</v>
      </c>
      <c r="T118" s="60">
        <v>63.8</v>
      </c>
      <c r="U118">
        <v>0</v>
      </c>
      <c r="W118" t="s">
        <v>28</v>
      </c>
      <c r="X118">
        <f>IF(Merge1[[#This Row],[qc_status]]="PASS",1,0)</f>
        <v>1</v>
      </c>
      <c r="Y118" t="s">
        <v>250</v>
      </c>
      <c r="Z118" t="s">
        <v>57</v>
      </c>
    </row>
    <row r="119" spans="1:26" hidden="1" x14ac:dyDescent="0.35">
      <c r="A119" t="s">
        <v>251</v>
      </c>
      <c r="B119">
        <v>45071</v>
      </c>
      <c r="C119" t="s">
        <v>31</v>
      </c>
      <c r="D119" t="s">
        <v>1241</v>
      </c>
      <c r="E119" t="s">
        <v>1242</v>
      </c>
      <c r="F119" t="s">
        <v>54</v>
      </c>
      <c r="G119" t="s">
        <v>43</v>
      </c>
      <c r="H119" t="s">
        <v>33</v>
      </c>
      <c r="I119" t="s">
        <v>1258</v>
      </c>
      <c r="J119" t="s">
        <v>34</v>
      </c>
      <c r="K119">
        <v>923.1</v>
      </c>
      <c r="L119">
        <v>4684.2</v>
      </c>
      <c r="M119">
        <v>583</v>
      </c>
      <c r="N119">
        <v>585</v>
      </c>
      <c r="O119">
        <v>2</v>
      </c>
      <c r="P119">
        <v>3.3999999999999998E-3</v>
      </c>
      <c r="Q119">
        <v>7.6</v>
      </c>
      <c r="R119">
        <v>8.84</v>
      </c>
      <c r="S119">
        <v>63.3</v>
      </c>
      <c r="T119">
        <v>65.7</v>
      </c>
      <c r="U119">
        <v>0</v>
      </c>
      <c r="W119" t="s">
        <v>38</v>
      </c>
      <c r="X119">
        <f>IF(Merge1[[#This Row],[qc_status]]="PASS",1,0)</f>
        <v>0</v>
      </c>
      <c r="Y119" t="s">
        <v>252</v>
      </c>
      <c r="Z119" t="s">
        <v>57</v>
      </c>
    </row>
    <row r="120" spans="1:26" x14ac:dyDescent="0.35">
      <c r="A120" t="s">
        <v>253</v>
      </c>
      <c r="B120">
        <v>45072</v>
      </c>
      <c r="C120" t="s">
        <v>97</v>
      </c>
      <c r="D120" t="s">
        <v>1238</v>
      </c>
      <c r="E120" t="s">
        <v>1239</v>
      </c>
      <c r="F120" t="s">
        <v>75</v>
      </c>
      <c r="G120" t="s">
        <v>48</v>
      </c>
      <c r="H120" t="s">
        <v>26</v>
      </c>
      <c r="I120" t="s">
        <v>1260</v>
      </c>
      <c r="J120" t="s">
        <v>27</v>
      </c>
      <c r="K120">
        <v>1041.5999999999999</v>
      </c>
      <c r="L120">
        <v>4124.6000000000004</v>
      </c>
      <c r="M120">
        <v>635.79999999999995</v>
      </c>
      <c r="N120">
        <v>630.29999999999995</v>
      </c>
      <c r="O120">
        <v>-5.5</v>
      </c>
      <c r="P120">
        <v>-8.6999999999999994E-3</v>
      </c>
      <c r="Q120">
        <v>10.1</v>
      </c>
      <c r="R120">
        <v>8.9600000000000009</v>
      </c>
      <c r="S120" s="60">
        <v>60</v>
      </c>
      <c r="T120" s="60">
        <v>61.1</v>
      </c>
      <c r="U120">
        <v>5</v>
      </c>
      <c r="W120" t="s">
        <v>28</v>
      </c>
      <c r="X120">
        <f>IF(Merge1[[#This Row],[qc_status]]="PASS",1,0)</f>
        <v>1</v>
      </c>
      <c r="Y120" t="s">
        <v>254</v>
      </c>
      <c r="Z120" t="s">
        <v>40</v>
      </c>
    </row>
    <row r="121" spans="1:26" x14ac:dyDescent="0.35">
      <c r="A121" t="s">
        <v>255</v>
      </c>
      <c r="B121">
        <v>45078</v>
      </c>
      <c r="C121" t="s">
        <v>97</v>
      </c>
      <c r="D121" t="s">
        <v>1238</v>
      </c>
      <c r="E121" t="s">
        <v>1239</v>
      </c>
      <c r="F121" t="s">
        <v>92</v>
      </c>
      <c r="G121" t="s">
        <v>48</v>
      </c>
      <c r="H121" t="s">
        <v>55</v>
      </c>
      <c r="I121" t="s">
        <v>1253</v>
      </c>
      <c r="J121" t="s">
        <v>27</v>
      </c>
      <c r="K121">
        <v>707.4</v>
      </c>
      <c r="L121">
        <v>2717</v>
      </c>
      <c r="M121">
        <v>393.6</v>
      </c>
      <c r="N121">
        <v>398.7</v>
      </c>
      <c r="O121">
        <v>5.0999999999999996</v>
      </c>
      <c r="P121">
        <v>1.2999999999999999E-2</v>
      </c>
      <c r="Q121">
        <v>16.399999999999999</v>
      </c>
      <c r="R121">
        <v>13.46</v>
      </c>
      <c r="S121" s="60">
        <v>62</v>
      </c>
      <c r="T121" s="60">
        <v>63.1</v>
      </c>
      <c r="U121">
        <v>5</v>
      </c>
      <c r="V121" t="s">
        <v>239</v>
      </c>
      <c r="W121" t="s">
        <v>28</v>
      </c>
      <c r="X121">
        <f>IF(Merge1[[#This Row],[qc_status]]="PASS",1,0)</f>
        <v>1</v>
      </c>
      <c r="Y121" t="s">
        <v>256</v>
      </c>
      <c r="Z121" t="s">
        <v>40</v>
      </c>
    </row>
    <row r="122" spans="1:26" x14ac:dyDescent="0.35">
      <c r="A122" t="s">
        <v>257</v>
      </c>
      <c r="B122">
        <v>45079</v>
      </c>
      <c r="C122" t="s">
        <v>97</v>
      </c>
      <c r="D122" t="s">
        <v>1238</v>
      </c>
      <c r="E122" t="s">
        <v>1239</v>
      </c>
      <c r="F122" t="s">
        <v>24</v>
      </c>
      <c r="G122" t="s">
        <v>89</v>
      </c>
      <c r="H122" t="s">
        <v>44</v>
      </c>
      <c r="I122" t="s">
        <v>1255</v>
      </c>
      <c r="J122" t="s">
        <v>27</v>
      </c>
      <c r="K122">
        <v>1088.4000000000001</v>
      </c>
      <c r="L122">
        <v>3853.4</v>
      </c>
      <c r="M122">
        <v>608.9</v>
      </c>
      <c r="N122">
        <v>605.6</v>
      </c>
      <c r="O122">
        <v>-3.3</v>
      </c>
      <c r="P122">
        <v>-5.4000000000000003E-3</v>
      </c>
      <c r="Q122">
        <v>11</v>
      </c>
      <c r="R122">
        <v>14.01</v>
      </c>
      <c r="S122" s="60">
        <v>66.7</v>
      </c>
      <c r="T122" s="60">
        <v>67.5</v>
      </c>
      <c r="U122">
        <v>0</v>
      </c>
      <c r="W122" t="s">
        <v>28</v>
      </c>
      <c r="X122">
        <f>IF(Merge1[[#This Row],[qc_status]]="PASS",1,0)</f>
        <v>1</v>
      </c>
      <c r="Y122" t="s">
        <v>258</v>
      </c>
    </row>
    <row r="123" spans="1:26" x14ac:dyDescent="0.35">
      <c r="A123" t="s">
        <v>259</v>
      </c>
      <c r="B123">
        <v>45080</v>
      </c>
      <c r="C123" t="s">
        <v>42</v>
      </c>
      <c r="D123" t="s">
        <v>1246</v>
      </c>
      <c r="E123" t="s">
        <v>1247</v>
      </c>
      <c r="F123" t="s">
        <v>37</v>
      </c>
      <c r="G123" t="s">
        <v>89</v>
      </c>
      <c r="H123" t="s">
        <v>55</v>
      </c>
      <c r="I123" t="s">
        <v>1253</v>
      </c>
      <c r="J123" t="s">
        <v>27</v>
      </c>
      <c r="K123">
        <v>577.20000000000005</v>
      </c>
      <c r="L123">
        <v>2772.4</v>
      </c>
      <c r="M123">
        <v>375.6</v>
      </c>
      <c r="N123">
        <v>372.5</v>
      </c>
      <c r="O123">
        <v>-3.1</v>
      </c>
      <c r="P123">
        <v>-8.3000000000000001E-3</v>
      </c>
      <c r="Q123">
        <v>17.100000000000001</v>
      </c>
      <c r="R123">
        <v>19.86</v>
      </c>
      <c r="S123" s="60">
        <v>61</v>
      </c>
      <c r="T123" s="60">
        <v>59.5</v>
      </c>
      <c r="U123">
        <v>0.5</v>
      </c>
      <c r="V123" t="s">
        <v>100</v>
      </c>
      <c r="W123" t="s">
        <v>28</v>
      </c>
      <c r="X123">
        <f>IF(Merge1[[#This Row],[qc_status]]="PASS",1,0)</f>
        <v>1</v>
      </c>
      <c r="Y123" t="s">
        <v>260</v>
      </c>
    </row>
    <row r="124" spans="1:26" hidden="1" x14ac:dyDescent="0.35">
      <c r="A124" t="s">
        <v>261</v>
      </c>
      <c r="B124">
        <v>45081</v>
      </c>
      <c r="C124" t="s">
        <v>97</v>
      </c>
      <c r="D124" t="s">
        <v>1238</v>
      </c>
      <c r="E124" t="s">
        <v>1239</v>
      </c>
      <c r="F124" t="s">
        <v>37</v>
      </c>
      <c r="G124" t="s">
        <v>105</v>
      </c>
      <c r="H124" t="s">
        <v>44</v>
      </c>
      <c r="I124" t="s">
        <v>1255</v>
      </c>
      <c r="J124" t="s">
        <v>34</v>
      </c>
      <c r="K124">
        <v>1049</v>
      </c>
      <c r="L124">
        <v>3818.1</v>
      </c>
      <c r="M124">
        <v>640.29999999999995</v>
      </c>
      <c r="N124">
        <v>690.4</v>
      </c>
      <c r="O124">
        <v>50.1</v>
      </c>
      <c r="P124">
        <v>7.8200000000000006E-2</v>
      </c>
      <c r="Q124">
        <v>17</v>
      </c>
      <c r="R124">
        <v>17.22</v>
      </c>
      <c r="S124">
        <v>67.400000000000006</v>
      </c>
      <c r="T124">
        <v>69.8</v>
      </c>
      <c r="U124">
        <v>0</v>
      </c>
      <c r="W124" t="s">
        <v>28</v>
      </c>
      <c r="X124">
        <f>IF(Merge1[[#This Row],[qc_status]]="PASS",1,0)</f>
        <v>1</v>
      </c>
      <c r="Y124" t="s">
        <v>262</v>
      </c>
      <c r="Z124" t="s">
        <v>57</v>
      </c>
    </row>
    <row r="125" spans="1:26" x14ac:dyDescent="0.35">
      <c r="A125" t="s">
        <v>263</v>
      </c>
      <c r="B125">
        <v>45081</v>
      </c>
      <c r="C125" t="s">
        <v>97</v>
      </c>
      <c r="D125" t="s">
        <v>1238</v>
      </c>
      <c r="E125" t="s">
        <v>1239</v>
      </c>
      <c r="F125" t="s">
        <v>37</v>
      </c>
      <c r="G125" t="s">
        <v>89</v>
      </c>
      <c r="H125" t="s">
        <v>33</v>
      </c>
      <c r="I125" t="s">
        <v>1258</v>
      </c>
      <c r="J125" t="s">
        <v>27</v>
      </c>
      <c r="K125">
        <v>445.8</v>
      </c>
      <c r="L125">
        <v>2266.6999999999998</v>
      </c>
      <c r="M125">
        <v>315.60000000000002</v>
      </c>
      <c r="N125">
        <v>311.10000000000002</v>
      </c>
      <c r="O125">
        <v>-4.5</v>
      </c>
      <c r="P125">
        <v>-1.43E-2</v>
      </c>
      <c r="Q125">
        <v>11.4</v>
      </c>
      <c r="R125">
        <v>11.27</v>
      </c>
      <c r="S125" s="60">
        <v>66</v>
      </c>
      <c r="T125" s="60">
        <v>63.6</v>
      </c>
      <c r="U125">
        <v>0</v>
      </c>
      <c r="W125" t="s">
        <v>28</v>
      </c>
      <c r="X125">
        <f>IF(Merge1[[#This Row],[qc_status]]="PASS",1,0)</f>
        <v>1</v>
      </c>
      <c r="Y125" t="s">
        <v>264</v>
      </c>
      <c r="Z125" t="s">
        <v>61</v>
      </c>
    </row>
    <row r="126" spans="1:26" x14ac:dyDescent="0.35">
      <c r="A126" t="s">
        <v>265</v>
      </c>
      <c r="B126">
        <v>45081</v>
      </c>
      <c r="C126" t="s">
        <v>23</v>
      </c>
      <c r="D126" t="s">
        <v>1235</v>
      </c>
      <c r="E126" t="s">
        <v>1236</v>
      </c>
      <c r="F126" t="s">
        <v>37</v>
      </c>
      <c r="G126" t="s">
        <v>48</v>
      </c>
      <c r="H126" t="s">
        <v>44</v>
      </c>
      <c r="I126" t="s">
        <v>1255</v>
      </c>
      <c r="J126" t="s">
        <v>27</v>
      </c>
      <c r="K126">
        <v>1090.7</v>
      </c>
      <c r="L126">
        <v>4392.8999999999996</v>
      </c>
      <c r="M126">
        <v>725.7</v>
      </c>
      <c r="N126">
        <v>739.7</v>
      </c>
      <c r="O126">
        <v>14</v>
      </c>
      <c r="P126">
        <v>1.9300000000000001E-2</v>
      </c>
      <c r="Q126">
        <v>14.6</v>
      </c>
      <c r="R126">
        <v>14.53</v>
      </c>
      <c r="S126" s="60">
        <v>61.6</v>
      </c>
      <c r="T126" s="60">
        <v>61</v>
      </c>
      <c r="U126">
        <v>0</v>
      </c>
      <c r="W126" t="s">
        <v>28</v>
      </c>
      <c r="X126">
        <f>IF(Merge1[[#This Row],[qc_status]]="PASS",1,0)</f>
        <v>1</v>
      </c>
      <c r="Y126" t="s">
        <v>266</v>
      </c>
    </row>
    <row r="127" spans="1:26" x14ac:dyDescent="0.35">
      <c r="A127" t="s">
        <v>265</v>
      </c>
      <c r="B127">
        <v>45081</v>
      </c>
      <c r="C127" t="s">
        <v>23</v>
      </c>
      <c r="D127" t="s">
        <v>1235</v>
      </c>
      <c r="E127" t="s">
        <v>1236</v>
      </c>
      <c r="F127" t="s">
        <v>37</v>
      </c>
      <c r="G127" t="s">
        <v>48</v>
      </c>
      <c r="H127" t="s">
        <v>44</v>
      </c>
      <c r="I127" t="s">
        <v>1255</v>
      </c>
      <c r="J127" t="s">
        <v>27</v>
      </c>
      <c r="K127">
        <v>1090.7</v>
      </c>
      <c r="L127">
        <v>4392.8999999999996</v>
      </c>
      <c r="M127">
        <v>725.7</v>
      </c>
      <c r="N127">
        <v>739.7</v>
      </c>
      <c r="O127">
        <v>14</v>
      </c>
      <c r="P127">
        <v>1.9300000000000001E-2</v>
      </c>
      <c r="Q127">
        <v>14.6</v>
      </c>
      <c r="R127">
        <v>14.53</v>
      </c>
      <c r="S127" s="60">
        <v>61.6</v>
      </c>
      <c r="T127" s="60">
        <v>61</v>
      </c>
      <c r="U127">
        <v>0</v>
      </c>
      <c r="W127" t="s">
        <v>28</v>
      </c>
      <c r="X127">
        <f>IF(Merge1[[#This Row],[qc_status]]="PASS",1,0)</f>
        <v>1</v>
      </c>
      <c r="Y127" t="s">
        <v>266</v>
      </c>
    </row>
    <row r="128" spans="1:26" hidden="1" x14ac:dyDescent="0.35">
      <c r="A128" t="s">
        <v>267</v>
      </c>
      <c r="B128">
        <v>45088</v>
      </c>
      <c r="C128" t="s">
        <v>51</v>
      </c>
      <c r="D128" t="s">
        <v>1244</v>
      </c>
      <c r="E128" t="s">
        <v>1242</v>
      </c>
      <c r="F128" t="s">
        <v>92</v>
      </c>
      <c r="G128" t="s">
        <v>43</v>
      </c>
      <c r="H128" t="s">
        <v>26</v>
      </c>
      <c r="I128" t="s">
        <v>1260</v>
      </c>
      <c r="J128" t="s">
        <v>34</v>
      </c>
      <c r="K128">
        <v>692.1</v>
      </c>
      <c r="L128">
        <v>2679.9</v>
      </c>
      <c r="M128">
        <v>384.9</v>
      </c>
      <c r="N128">
        <v>348.9</v>
      </c>
      <c r="O128">
        <v>-36</v>
      </c>
      <c r="P128">
        <v>-9.35E-2</v>
      </c>
      <c r="Q128">
        <v>11.9</v>
      </c>
      <c r="R128">
        <v>15.48</v>
      </c>
      <c r="S128">
        <v>68.2</v>
      </c>
      <c r="T128">
        <v>67.7</v>
      </c>
      <c r="U128">
        <v>0</v>
      </c>
      <c r="W128" t="s">
        <v>28</v>
      </c>
      <c r="X128">
        <f>IF(Merge1[[#This Row],[qc_status]]="PASS",1,0)</f>
        <v>1</v>
      </c>
      <c r="Y128" t="s">
        <v>268</v>
      </c>
      <c r="Z128" t="s">
        <v>66</v>
      </c>
    </row>
    <row r="129" spans="1:26" x14ac:dyDescent="0.35">
      <c r="A129" t="s">
        <v>269</v>
      </c>
      <c r="B129">
        <v>45088</v>
      </c>
      <c r="C129" t="s">
        <v>31</v>
      </c>
      <c r="D129" t="s">
        <v>1241</v>
      </c>
      <c r="E129" t="s">
        <v>1242</v>
      </c>
      <c r="F129" t="s">
        <v>54</v>
      </c>
      <c r="G129" t="s">
        <v>105</v>
      </c>
      <c r="H129" t="s">
        <v>33</v>
      </c>
      <c r="I129" t="s">
        <v>1258</v>
      </c>
      <c r="J129" t="s">
        <v>27</v>
      </c>
      <c r="K129">
        <v>949.7</v>
      </c>
      <c r="L129">
        <v>4324.2</v>
      </c>
      <c r="M129">
        <v>542.79999999999995</v>
      </c>
      <c r="N129">
        <v>580.9</v>
      </c>
      <c r="O129">
        <v>38.1</v>
      </c>
      <c r="P129">
        <v>7.0199999999999999E-2</v>
      </c>
      <c r="Q129">
        <v>17</v>
      </c>
      <c r="R129">
        <v>19.41</v>
      </c>
      <c r="S129" s="60">
        <v>60.6</v>
      </c>
      <c r="T129" s="60">
        <v>58.3</v>
      </c>
      <c r="U129">
        <v>1</v>
      </c>
      <c r="W129" t="s">
        <v>28</v>
      </c>
      <c r="X129">
        <f>IF(Merge1[[#This Row],[qc_status]]="PASS",1,0)</f>
        <v>1</v>
      </c>
      <c r="Y129" t="s">
        <v>270</v>
      </c>
      <c r="Z129" t="s">
        <v>61</v>
      </c>
    </row>
    <row r="130" spans="1:26" x14ac:dyDescent="0.35">
      <c r="A130" t="s">
        <v>271</v>
      </c>
      <c r="B130">
        <v>45089</v>
      </c>
      <c r="C130" t="s">
        <v>51</v>
      </c>
      <c r="D130" t="s">
        <v>1244</v>
      </c>
      <c r="E130" t="s">
        <v>1242</v>
      </c>
      <c r="F130" t="s">
        <v>92</v>
      </c>
      <c r="G130" t="s">
        <v>48</v>
      </c>
      <c r="H130" t="s">
        <v>44</v>
      </c>
      <c r="I130" t="s">
        <v>1255</v>
      </c>
      <c r="J130" t="s">
        <v>27</v>
      </c>
      <c r="K130">
        <v>571.70000000000005</v>
      </c>
      <c r="L130">
        <v>2490.5</v>
      </c>
      <c r="M130">
        <v>364</v>
      </c>
      <c r="N130">
        <v>359.7</v>
      </c>
      <c r="O130">
        <v>-4.3</v>
      </c>
      <c r="P130">
        <v>-1.18E-2</v>
      </c>
      <c r="Q130">
        <v>16.3</v>
      </c>
      <c r="R130">
        <v>17.399999999999999</v>
      </c>
      <c r="S130" s="60">
        <v>62.3</v>
      </c>
      <c r="T130" s="60">
        <v>63.6</v>
      </c>
      <c r="U130">
        <v>1</v>
      </c>
      <c r="V130" t="s">
        <v>86</v>
      </c>
      <c r="W130" t="s">
        <v>28</v>
      </c>
      <c r="X130">
        <f>IF(Merge1[[#This Row],[qc_status]]="PASS",1,0)</f>
        <v>1</v>
      </c>
      <c r="Y130" t="s">
        <v>272</v>
      </c>
    </row>
    <row r="131" spans="1:26" x14ac:dyDescent="0.35">
      <c r="A131" t="s">
        <v>273</v>
      </c>
      <c r="B131">
        <v>45091</v>
      </c>
      <c r="C131" t="s">
        <v>42</v>
      </c>
      <c r="D131" t="s">
        <v>1246</v>
      </c>
      <c r="E131" t="s">
        <v>1247</v>
      </c>
      <c r="F131" t="s">
        <v>75</v>
      </c>
      <c r="G131" t="s">
        <v>25</v>
      </c>
      <c r="H131" t="s">
        <v>26</v>
      </c>
      <c r="I131" t="s">
        <v>1260</v>
      </c>
      <c r="J131" t="s">
        <v>27</v>
      </c>
      <c r="K131">
        <v>1132.9000000000001</v>
      </c>
      <c r="L131">
        <v>4867.8</v>
      </c>
      <c r="M131">
        <v>663.2</v>
      </c>
      <c r="N131">
        <v>659.2</v>
      </c>
      <c r="O131">
        <v>-4</v>
      </c>
      <c r="P131">
        <v>-6.0000000000000001E-3</v>
      </c>
      <c r="Q131">
        <v>14.4</v>
      </c>
      <c r="R131">
        <v>14.44</v>
      </c>
      <c r="S131" s="60">
        <v>66</v>
      </c>
      <c r="T131" s="60">
        <v>67</v>
      </c>
      <c r="U131">
        <v>0</v>
      </c>
      <c r="W131" t="s">
        <v>28</v>
      </c>
      <c r="X131">
        <f>IF(Merge1[[#This Row],[qc_status]]="PASS",1,0)</f>
        <v>1</v>
      </c>
      <c r="Y131" t="s">
        <v>274</v>
      </c>
    </row>
    <row r="132" spans="1:26" x14ac:dyDescent="0.35">
      <c r="A132" t="s">
        <v>275</v>
      </c>
      <c r="B132">
        <v>45094</v>
      </c>
      <c r="C132" t="s">
        <v>51</v>
      </c>
      <c r="D132" t="s">
        <v>1244</v>
      </c>
      <c r="E132" t="s">
        <v>1242</v>
      </c>
      <c r="F132" t="s">
        <v>75</v>
      </c>
      <c r="G132" t="s">
        <v>89</v>
      </c>
      <c r="H132" t="s">
        <v>33</v>
      </c>
      <c r="I132" t="s">
        <v>1258</v>
      </c>
      <c r="J132" t="s">
        <v>27</v>
      </c>
      <c r="K132">
        <v>857.5</v>
      </c>
      <c r="L132">
        <v>4485.5</v>
      </c>
      <c r="M132">
        <v>511</v>
      </c>
      <c r="N132">
        <v>524</v>
      </c>
      <c r="O132">
        <v>13</v>
      </c>
      <c r="P132">
        <v>2.5399999999999999E-2</v>
      </c>
      <c r="Q132">
        <v>16.399999999999999</v>
      </c>
      <c r="R132">
        <v>17.920000000000002</v>
      </c>
      <c r="S132" s="60">
        <v>65.3</v>
      </c>
      <c r="T132" s="60">
        <v>63.3</v>
      </c>
      <c r="U132">
        <v>0</v>
      </c>
      <c r="W132" t="s">
        <v>28</v>
      </c>
      <c r="X132">
        <f>IF(Merge1[[#This Row],[qc_status]]="PASS",1,0)</f>
        <v>1</v>
      </c>
      <c r="Y132" t="s">
        <v>276</v>
      </c>
    </row>
    <row r="133" spans="1:26" x14ac:dyDescent="0.35">
      <c r="A133" t="s">
        <v>277</v>
      </c>
      <c r="B133">
        <v>45097</v>
      </c>
      <c r="C133" t="s">
        <v>42</v>
      </c>
      <c r="D133" t="s">
        <v>1246</v>
      </c>
      <c r="E133" t="s">
        <v>1247</v>
      </c>
      <c r="F133" t="s">
        <v>24</v>
      </c>
      <c r="G133" t="s">
        <v>25</v>
      </c>
      <c r="H133" t="s">
        <v>26</v>
      </c>
      <c r="I133" t="s">
        <v>1260</v>
      </c>
      <c r="J133" t="s">
        <v>27</v>
      </c>
      <c r="K133">
        <v>662.1</v>
      </c>
      <c r="L133">
        <v>2860</v>
      </c>
      <c r="M133">
        <v>405</v>
      </c>
      <c r="N133">
        <v>406.4</v>
      </c>
      <c r="O133">
        <v>1.4</v>
      </c>
      <c r="P133">
        <v>3.5000000000000001E-3</v>
      </c>
      <c r="Q133">
        <v>9.6999999999999993</v>
      </c>
      <c r="R133">
        <v>9.43</v>
      </c>
      <c r="S133" s="60">
        <v>65.900000000000006</v>
      </c>
      <c r="T133" s="60">
        <v>64.7</v>
      </c>
      <c r="U133">
        <v>0</v>
      </c>
      <c r="W133" t="s">
        <v>28</v>
      </c>
      <c r="X133">
        <f>IF(Merge1[[#This Row],[qc_status]]="PASS",1,0)</f>
        <v>1</v>
      </c>
      <c r="Y133" t="s">
        <v>278</v>
      </c>
    </row>
    <row r="134" spans="1:26" hidden="1" x14ac:dyDescent="0.35">
      <c r="A134" t="s">
        <v>279</v>
      </c>
      <c r="B134">
        <v>45100</v>
      </c>
      <c r="C134" t="s">
        <v>51</v>
      </c>
      <c r="D134" t="s">
        <v>1244</v>
      </c>
      <c r="E134" t="s">
        <v>1242</v>
      </c>
      <c r="F134" t="s">
        <v>92</v>
      </c>
      <c r="G134" t="s">
        <v>25</v>
      </c>
      <c r="H134" t="s">
        <v>59</v>
      </c>
      <c r="I134" t="s">
        <v>1257</v>
      </c>
      <c r="J134" t="s">
        <v>34</v>
      </c>
      <c r="K134">
        <v>689.1</v>
      </c>
      <c r="L134">
        <v>3074.5</v>
      </c>
      <c r="M134">
        <v>494.9</v>
      </c>
      <c r="N134">
        <v>507</v>
      </c>
      <c r="O134">
        <v>12.1</v>
      </c>
      <c r="P134">
        <v>2.4400000000000002E-2</v>
      </c>
      <c r="Q134">
        <v>4.3</v>
      </c>
      <c r="R134">
        <v>5.95</v>
      </c>
      <c r="S134">
        <v>65</v>
      </c>
      <c r="T134">
        <v>64.5</v>
      </c>
      <c r="U134">
        <v>5</v>
      </c>
      <c r="V134" t="s">
        <v>239</v>
      </c>
      <c r="W134" t="s">
        <v>28</v>
      </c>
      <c r="X134">
        <f>IF(Merge1[[#This Row],[qc_status]]="PASS",1,0)</f>
        <v>1</v>
      </c>
      <c r="Y134" t="s">
        <v>280</v>
      </c>
      <c r="Z134" t="s">
        <v>40</v>
      </c>
    </row>
    <row r="135" spans="1:26" x14ac:dyDescent="0.35">
      <c r="A135" t="s">
        <v>281</v>
      </c>
      <c r="B135">
        <v>45101</v>
      </c>
      <c r="C135" t="s">
        <v>23</v>
      </c>
      <c r="D135" t="s">
        <v>1235</v>
      </c>
      <c r="E135" t="s">
        <v>1236</v>
      </c>
      <c r="F135" t="s">
        <v>54</v>
      </c>
      <c r="G135" t="s">
        <v>89</v>
      </c>
      <c r="H135" t="s">
        <v>33</v>
      </c>
      <c r="I135" t="s">
        <v>1258</v>
      </c>
      <c r="J135" t="s">
        <v>27</v>
      </c>
      <c r="K135">
        <v>646</v>
      </c>
      <c r="L135">
        <v>3215.6</v>
      </c>
      <c r="M135">
        <v>371.4</v>
      </c>
      <c r="N135">
        <v>373.7</v>
      </c>
      <c r="O135">
        <v>2.2999999999999998</v>
      </c>
      <c r="P135">
        <v>6.1999999999999998E-3</v>
      </c>
      <c r="Q135">
        <v>17</v>
      </c>
      <c r="R135">
        <v>15.96</v>
      </c>
      <c r="S135" s="60">
        <v>69.2</v>
      </c>
      <c r="T135" s="60">
        <v>70.7</v>
      </c>
      <c r="U135">
        <v>0</v>
      </c>
      <c r="W135" t="s">
        <v>28</v>
      </c>
      <c r="X135">
        <f>IF(Merge1[[#This Row],[qc_status]]="PASS",1,0)</f>
        <v>1</v>
      </c>
      <c r="Y135" t="s">
        <v>282</v>
      </c>
    </row>
    <row r="136" spans="1:26" x14ac:dyDescent="0.35">
      <c r="A136" t="s">
        <v>281</v>
      </c>
      <c r="B136">
        <v>45101</v>
      </c>
      <c r="C136" t="s">
        <v>23</v>
      </c>
      <c r="D136" t="s">
        <v>1235</v>
      </c>
      <c r="E136" t="s">
        <v>1236</v>
      </c>
      <c r="F136" t="s">
        <v>54</v>
      </c>
      <c r="G136" t="s">
        <v>89</v>
      </c>
      <c r="H136" t="s">
        <v>33</v>
      </c>
      <c r="I136" t="s">
        <v>1258</v>
      </c>
      <c r="J136" t="s">
        <v>27</v>
      </c>
      <c r="K136">
        <v>646</v>
      </c>
      <c r="L136">
        <v>3215.6</v>
      </c>
      <c r="M136">
        <v>371.4</v>
      </c>
      <c r="N136">
        <v>373.7</v>
      </c>
      <c r="O136">
        <v>2.2999999999999998</v>
      </c>
      <c r="P136">
        <v>6.1999999999999998E-3</v>
      </c>
      <c r="Q136">
        <v>17</v>
      </c>
      <c r="R136">
        <v>15.96</v>
      </c>
      <c r="S136" s="60">
        <v>69.2</v>
      </c>
      <c r="T136" s="60">
        <v>70.7</v>
      </c>
      <c r="U136">
        <v>0</v>
      </c>
      <c r="W136" t="s">
        <v>28</v>
      </c>
      <c r="X136">
        <f>IF(Merge1[[#This Row],[qc_status]]="PASS",1,0)</f>
        <v>1</v>
      </c>
      <c r="Y136" t="s">
        <v>282</v>
      </c>
    </row>
    <row r="137" spans="1:26" x14ac:dyDescent="0.35">
      <c r="A137" t="s">
        <v>283</v>
      </c>
      <c r="B137">
        <v>45103</v>
      </c>
      <c r="C137" t="s">
        <v>51</v>
      </c>
      <c r="D137" t="s">
        <v>1244</v>
      </c>
      <c r="E137" t="s">
        <v>1242</v>
      </c>
      <c r="F137" t="s">
        <v>24</v>
      </c>
      <c r="G137" t="s">
        <v>105</v>
      </c>
      <c r="H137" t="s">
        <v>26</v>
      </c>
      <c r="I137" t="s">
        <v>1260</v>
      </c>
      <c r="J137" t="s">
        <v>27</v>
      </c>
      <c r="K137">
        <v>401</v>
      </c>
      <c r="L137">
        <v>1652.5</v>
      </c>
      <c r="M137">
        <v>266.39999999999998</v>
      </c>
      <c r="N137">
        <v>263.3</v>
      </c>
      <c r="O137">
        <v>-3.1</v>
      </c>
      <c r="P137">
        <v>-1.1599999999999999E-2</v>
      </c>
      <c r="Q137">
        <v>15</v>
      </c>
      <c r="R137">
        <v>16</v>
      </c>
      <c r="S137" s="60">
        <v>62.1</v>
      </c>
      <c r="T137" s="60">
        <v>63.3</v>
      </c>
      <c r="U137">
        <v>5</v>
      </c>
      <c r="W137" t="s">
        <v>38</v>
      </c>
      <c r="X137">
        <f>IF(Merge1[[#This Row],[qc_status]]="PASS",1,0)</f>
        <v>0</v>
      </c>
      <c r="Y137" t="s">
        <v>284</v>
      </c>
      <c r="Z137" t="s">
        <v>40</v>
      </c>
    </row>
    <row r="138" spans="1:26" x14ac:dyDescent="0.35">
      <c r="A138" t="s">
        <v>285</v>
      </c>
      <c r="B138">
        <v>45103</v>
      </c>
      <c r="C138" t="s">
        <v>51</v>
      </c>
      <c r="D138" t="s">
        <v>1244</v>
      </c>
      <c r="E138" t="s">
        <v>1242</v>
      </c>
      <c r="F138" t="s">
        <v>75</v>
      </c>
      <c r="G138" t="s">
        <v>25</v>
      </c>
      <c r="H138" t="s">
        <v>33</v>
      </c>
      <c r="I138" t="s">
        <v>1258</v>
      </c>
      <c r="J138" t="s">
        <v>27</v>
      </c>
      <c r="K138">
        <v>818</v>
      </c>
      <c r="L138">
        <v>4164.6000000000004</v>
      </c>
      <c r="M138">
        <v>463.3</v>
      </c>
      <c r="N138">
        <v>464.1</v>
      </c>
      <c r="O138">
        <v>0.8</v>
      </c>
      <c r="P138">
        <v>1.6999999999999999E-3</v>
      </c>
      <c r="Q138">
        <v>8.9</v>
      </c>
      <c r="R138">
        <v>8.51</v>
      </c>
      <c r="S138" s="60">
        <v>62.1</v>
      </c>
      <c r="T138" s="60">
        <v>62.9</v>
      </c>
      <c r="U138">
        <v>5</v>
      </c>
      <c r="W138" t="s">
        <v>28</v>
      </c>
      <c r="X138">
        <f>IF(Merge1[[#This Row],[qc_status]]="PASS",1,0)</f>
        <v>1</v>
      </c>
      <c r="Y138" t="s">
        <v>286</v>
      </c>
      <c r="Z138" t="s">
        <v>40</v>
      </c>
    </row>
    <row r="139" spans="1:26" x14ac:dyDescent="0.35">
      <c r="A139" t="s">
        <v>287</v>
      </c>
      <c r="B139">
        <v>45107</v>
      </c>
      <c r="C139" t="s">
        <v>31</v>
      </c>
      <c r="D139" t="s">
        <v>1241</v>
      </c>
      <c r="E139" t="s">
        <v>1242</v>
      </c>
      <c r="F139" t="s">
        <v>24</v>
      </c>
      <c r="G139" t="s">
        <v>105</v>
      </c>
      <c r="H139" t="s">
        <v>59</v>
      </c>
      <c r="I139" t="s">
        <v>1257</v>
      </c>
      <c r="J139" t="s">
        <v>27</v>
      </c>
      <c r="K139">
        <v>1199.3</v>
      </c>
      <c r="L139">
        <v>4841.3999999999996</v>
      </c>
      <c r="M139">
        <v>786.9</v>
      </c>
      <c r="N139">
        <v>788.8</v>
      </c>
      <c r="O139">
        <v>1.9</v>
      </c>
      <c r="P139">
        <v>2.3999999999999998E-3</v>
      </c>
      <c r="Q139">
        <v>12.6</v>
      </c>
      <c r="R139">
        <v>15.91</v>
      </c>
      <c r="S139" s="60">
        <v>62.1</v>
      </c>
      <c r="T139" s="60">
        <v>62.3</v>
      </c>
      <c r="U139">
        <v>0</v>
      </c>
      <c r="W139" t="s">
        <v>28</v>
      </c>
      <c r="X139">
        <f>IF(Merge1[[#This Row],[qc_status]]="PASS",1,0)</f>
        <v>1</v>
      </c>
      <c r="Y139" t="s">
        <v>288</v>
      </c>
    </row>
    <row r="140" spans="1:26" hidden="1" x14ac:dyDescent="0.35">
      <c r="A140" t="s">
        <v>289</v>
      </c>
      <c r="B140">
        <v>45108</v>
      </c>
      <c r="C140" t="s">
        <v>42</v>
      </c>
      <c r="D140" t="s">
        <v>1246</v>
      </c>
      <c r="E140" t="s">
        <v>1247</v>
      </c>
      <c r="F140" t="s">
        <v>24</v>
      </c>
      <c r="G140" t="s">
        <v>105</v>
      </c>
      <c r="H140" t="s">
        <v>55</v>
      </c>
      <c r="I140" t="s">
        <v>1253</v>
      </c>
      <c r="J140" t="s">
        <v>34</v>
      </c>
      <c r="K140">
        <v>977.9</v>
      </c>
      <c r="L140">
        <v>3729.5</v>
      </c>
      <c r="M140">
        <v>544.79999999999995</v>
      </c>
      <c r="N140">
        <v>519.6</v>
      </c>
      <c r="O140">
        <v>-25.2</v>
      </c>
      <c r="P140">
        <v>-4.6300000000000001E-2</v>
      </c>
      <c r="Q140">
        <v>13.8</v>
      </c>
      <c r="R140">
        <v>14.44</v>
      </c>
      <c r="S140">
        <v>65.2</v>
      </c>
      <c r="T140">
        <v>66.900000000000006</v>
      </c>
      <c r="U140">
        <v>0</v>
      </c>
      <c r="W140" t="s">
        <v>38</v>
      </c>
      <c r="X140">
        <f>IF(Merge1[[#This Row],[qc_status]]="PASS",1,0)</f>
        <v>0</v>
      </c>
      <c r="Y140" t="s">
        <v>290</v>
      </c>
    </row>
    <row r="141" spans="1:26" x14ac:dyDescent="0.35">
      <c r="A141" t="s">
        <v>291</v>
      </c>
      <c r="B141">
        <v>45112</v>
      </c>
      <c r="C141" t="s">
        <v>97</v>
      </c>
      <c r="D141" t="s">
        <v>1238</v>
      </c>
      <c r="E141" t="s">
        <v>1239</v>
      </c>
      <c r="F141" t="s">
        <v>54</v>
      </c>
      <c r="G141" t="s">
        <v>48</v>
      </c>
      <c r="H141" t="s">
        <v>26</v>
      </c>
      <c r="I141" t="s">
        <v>1260</v>
      </c>
      <c r="J141" t="s">
        <v>27</v>
      </c>
      <c r="K141">
        <v>673.8</v>
      </c>
      <c r="L141">
        <v>2901.1</v>
      </c>
      <c r="M141">
        <v>424.9</v>
      </c>
      <c r="N141">
        <v>391.7</v>
      </c>
      <c r="O141">
        <v>-33.200000000000003</v>
      </c>
      <c r="P141">
        <v>-7.8100000000000003E-2</v>
      </c>
      <c r="Q141">
        <v>14</v>
      </c>
      <c r="R141">
        <v>16.510000000000002</v>
      </c>
      <c r="S141" s="60">
        <v>61.3</v>
      </c>
      <c r="T141" s="60">
        <v>60.6</v>
      </c>
      <c r="U141">
        <v>0</v>
      </c>
      <c r="W141" t="s">
        <v>38</v>
      </c>
      <c r="X141">
        <f>IF(Merge1[[#This Row],[qc_status]]="PASS",1,0)</f>
        <v>0</v>
      </c>
      <c r="Y141" t="s">
        <v>292</v>
      </c>
    </row>
    <row r="142" spans="1:26" hidden="1" x14ac:dyDescent="0.35">
      <c r="A142" t="s">
        <v>293</v>
      </c>
      <c r="B142">
        <v>45114</v>
      </c>
      <c r="C142" t="s">
        <v>23</v>
      </c>
      <c r="D142" t="s">
        <v>1235</v>
      </c>
      <c r="E142" t="s">
        <v>1236</v>
      </c>
      <c r="F142" t="s">
        <v>92</v>
      </c>
      <c r="G142" t="s">
        <v>25</v>
      </c>
      <c r="H142" t="s">
        <v>44</v>
      </c>
      <c r="I142" t="s">
        <v>1255</v>
      </c>
      <c r="J142" t="s">
        <v>34</v>
      </c>
      <c r="K142">
        <v>866.9</v>
      </c>
      <c r="L142">
        <v>3449.9</v>
      </c>
      <c r="M142">
        <v>525.79999999999995</v>
      </c>
      <c r="N142">
        <v>533.5</v>
      </c>
      <c r="O142">
        <v>7.7</v>
      </c>
      <c r="P142">
        <v>1.46E-2</v>
      </c>
      <c r="Q142">
        <v>12.6</v>
      </c>
      <c r="R142">
        <v>12.27</v>
      </c>
      <c r="S142">
        <v>61.7</v>
      </c>
      <c r="T142">
        <v>60</v>
      </c>
      <c r="U142">
        <v>0</v>
      </c>
      <c r="W142" t="s">
        <v>28</v>
      </c>
      <c r="X142">
        <f>IF(Merge1[[#This Row],[qc_status]]="PASS",1,0)</f>
        <v>1</v>
      </c>
      <c r="Y142" t="s">
        <v>294</v>
      </c>
    </row>
    <row r="143" spans="1:26" hidden="1" x14ac:dyDescent="0.35">
      <c r="A143" t="s">
        <v>293</v>
      </c>
      <c r="B143">
        <v>45114</v>
      </c>
      <c r="C143" t="s">
        <v>23</v>
      </c>
      <c r="D143" t="s">
        <v>1235</v>
      </c>
      <c r="E143" t="s">
        <v>1236</v>
      </c>
      <c r="F143" t="s">
        <v>92</v>
      </c>
      <c r="G143" t="s">
        <v>25</v>
      </c>
      <c r="H143" t="s">
        <v>44</v>
      </c>
      <c r="I143" t="s">
        <v>1255</v>
      </c>
      <c r="J143" t="s">
        <v>34</v>
      </c>
      <c r="K143">
        <v>866.9</v>
      </c>
      <c r="L143">
        <v>3449.9</v>
      </c>
      <c r="M143">
        <v>525.79999999999995</v>
      </c>
      <c r="N143">
        <v>533.5</v>
      </c>
      <c r="O143">
        <v>7.7</v>
      </c>
      <c r="P143">
        <v>1.46E-2</v>
      </c>
      <c r="Q143">
        <v>12.6</v>
      </c>
      <c r="R143">
        <v>12.27</v>
      </c>
      <c r="S143">
        <v>61.7</v>
      </c>
      <c r="T143">
        <v>60</v>
      </c>
      <c r="U143">
        <v>0</v>
      </c>
      <c r="W143" t="s">
        <v>28</v>
      </c>
      <c r="X143">
        <f>IF(Merge1[[#This Row],[qc_status]]="PASS",1,0)</f>
        <v>1</v>
      </c>
      <c r="Y143" t="s">
        <v>294</v>
      </c>
    </row>
    <row r="144" spans="1:26" x14ac:dyDescent="0.35">
      <c r="A144" t="s">
        <v>295</v>
      </c>
      <c r="B144">
        <v>45115</v>
      </c>
      <c r="C144" t="s">
        <v>51</v>
      </c>
      <c r="D144" t="s">
        <v>1244</v>
      </c>
      <c r="E144" t="s">
        <v>1242</v>
      </c>
      <c r="F144" t="s">
        <v>54</v>
      </c>
      <c r="G144" t="s">
        <v>25</v>
      </c>
      <c r="H144" t="s">
        <v>44</v>
      </c>
      <c r="I144" t="s">
        <v>1255</v>
      </c>
      <c r="J144" t="s">
        <v>27</v>
      </c>
      <c r="K144">
        <v>883.5</v>
      </c>
      <c r="L144">
        <v>4818.1000000000004</v>
      </c>
      <c r="M144">
        <v>635.20000000000005</v>
      </c>
      <c r="N144">
        <v>625.5</v>
      </c>
      <c r="O144">
        <v>-9.6999999999999993</v>
      </c>
      <c r="P144">
        <v>-1.5299999999999999E-2</v>
      </c>
      <c r="Q144">
        <v>5.9</v>
      </c>
      <c r="R144">
        <v>7.86</v>
      </c>
      <c r="S144" s="60">
        <v>68.400000000000006</v>
      </c>
      <c r="T144" s="60">
        <v>67.3</v>
      </c>
      <c r="U144">
        <v>5</v>
      </c>
      <c r="W144" t="s">
        <v>28</v>
      </c>
      <c r="X144">
        <f>IF(Merge1[[#This Row],[qc_status]]="PASS",1,0)</f>
        <v>1</v>
      </c>
      <c r="Y144" t="s">
        <v>296</v>
      </c>
      <c r="Z144" t="s">
        <v>40</v>
      </c>
    </row>
    <row r="145" spans="1:26" hidden="1" x14ac:dyDescent="0.35">
      <c r="A145" t="s">
        <v>297</v>
      </c>
      <c r="B145">
        <v>45117</v>
      </c>
      <c r="C145" t="s">
        <v>97</v>
      </c>
      <c r="D145" t="s">
        <v>1238</v>
      </c>
      <c r="E145" t="s">
        <v>1239</v>
      </c>
      <c r="F145" t="s">
        <v>37</v>
      </c>
      <c r="G145" t="s">
        <v>89</v>
      </c>
      <c r="H145" t="s">
        <v>26</v>
      </c>
      <c r="I145" t="s">
        <v>1260</v>
      </c>
      <c r="J145" t="s">
        <v>34</v>
      </c>
      <c r="K145">
        <v>1094.2</v>
      </c>
      <c r="L145">
        <v>5921</v>
      </c>
      <c r="M145">
        <v>683.6</v>
      </c>
      <c r="N145">
        <v>671.8</v>
      </c>
      <c r="O145">
        <v>-11.8</v>
      </c>
      <c r="P145">
        <v>-1.7299999999999999E-2</v>
      </c>
      <c r="Q145">
        <v>9</v>
      </c>
      <c r="R145">
        <v>8.6</v>
      </c>
      <c r="S145">
        <v>62.9</v>
      </c>
      <c r="T145">
        <v>61.9</v>
      </c>
      <c r="U145">
        <v>0</v>
      </c>
      <c r="W145" t="s">
        <v>28</v>
      </c>
      <c r="X145">
        <f>IF(Merge1[[#This Row],[qc_status]]="PASS",1,0)</f>
        <v>1</v>
      </c>
      <c r="Y145" t="s">
        <v>298</v>
      </c>
    </row>
    <row r="146" spans="1:26" x14ac:dyDescent="0.35">
      <c r="A146" t="s">
        <v>299</v>
      </c>
      <c r="B146">
        <v>45118</v>
      </c>
      <c r="C146" t="s">
        <v>31</v>
      </c>
      <c r="D146" t="s">
        <v>1241</v>
      </c>
      <c r="E146" t="s">
        <v>1242</v>
      </c>
      <c r="F146" t="s">
        <v>54</v>
      </c>
      <c r="G146" t="s">
        <v>43</v>
      </c>
      <c r="H146" t="s">
        <v>59</v>
      </c>
      <c r="I146" t="s">
        <v>1257</v>
      </c>
      <c r="J146" t="s">
        <v>27</v>
      </c>
      <c r="K146">
        <v>480.8</v>
      </c>
      <c r="L146">
        <v>2348</v>
      </c>
      <c r="M146">
        <v>295.10000000000002</v>
      </c>
      <c r="N146">
        <v>280.3</v>
      </c>
      <c r="O146">
        <v>-14.8</v>
      </c>
      <c r="P146">
        <v>-5.0200000000000002E-2</v>
      </c>
      <c r="Q146">
        <v>11.7</v>
      </c>
      <c r="R146">
        <v>15.82</v>
      </c>
      <c r="S146" s="60">
        <v>64.8</v>
      </c>
      <c r="T146" s="60">
        <v>65.900000000000006</v>
      </c>
      <c r="U146">
        <v>0</v>
      </c>
      <c r="W146" t="s">
        <v>28</v>
      </c>
      <c r="X146">
        <f>IF(Merge1[[#This Row],[qc_status]]="PASS",1,0)</f>
        <v>1</v>
      </c>
      <c r="Y146" t="s">
        <v>300</v>
      </c>
    </row>
    <row r="147" spans="1:26" hidden="1" x14ac:dyDescent="0.35">
      <c r="A147" t="s">
        <v>301</v>
      </c>
      <c r="B147">
        <v>45118</v>
      </c>
      <c r="C147" t="s">
        <v>23</v>
      </c>
      <c r="D147" t="s">
        <v>1235</v>
      </c>
      <c r="E147" t="s">
        <v>1236</v>
      </c>
      <c r="F147" t="s">
        <v>92</v>
      </c>
      <c r="G147" t="s">
        <v>32</v>
      </c>
      <c r="H147" t="s">
        <v>44</v>
      </c>
      <c r="I147" t="s">
        <v>1255</v>
      </c>
      <c r="J147" t="s">
        <v>34</v>
      </c>
      <c r="K147">
        <v>736.6</v>
      </c>
      <c r="L147">
        <v>2599.6999999999998</v>
      </c>
      <c r="M147">
        <v>505.6</v>
      </c>
      <c r="N147">
        <v>536.4</v>
      </c>
      <c r="O147">
        <v>30.8</v>
      </c>
      <c r="P147">
        <v>6.0900000000000003E-2</v>
      </c>
      <c r="Q147">
        <v>9.6</v>
      </c>
      <c r="R147">
        <v>8.4600000000000009</v>
      </c>
      <c r="S147">
        <v>62</v>
      </c>
      <c r="T147">
        <v>62.7</v>
      </c>
      <c r="U147">
        <v>0</v>
      </c>
      <c r="W147" t="s">
        <v>28</v>
      </c>
      <c r="X147">
        <f>IF(Merge1[[#This Row],[qc_status]]="PASS",1,0)</f>
        <v>1</v>
      </c>
      <c r="Y147" t="s">
        <v>302</v>
      </c>
    </row>
    <row r="148" spans="1:26" hidden="1" x14ac:dyDescent="0.35">
      <c r="A148" t="s">
        <v>301</v>
      </c>
      <c r="B148">
        <v>45118</v>
      </c>
      <c r="C148" t="s">
        <v>23</v>
      </c>
      <c r="D148" t="s">
        <v>1235</v>
      </c>
      <c r="E148" t="s">
        <v>1236</v>
      </c>
      <c r="F148" t="s">
        <v>92</v>
      </c>
      <c r="G148" t="s">
        <v>32</v>
      </c>
      <c r="H148" t="s">
        <v>44</v>
      </c>
      <c r="I148" t="s">
        <v>1255</v>
      </c>
      <c r="J148" t="s">
        <v>34</v>
      </c>
      <c r="K148">
        <v>736.6</v>
      </c>
      <c r="L148">
        <v>2599.6999999999998</v>
      </c>
      <c r="M148">
        <v>505.6</v>
      </c>
      <c r="N148">
        <v>536.4</v>
      </c>
      <c r="O148">
        <v>30.8</v>
      </c>
      <c r="P148">
        <v>6.0900000000000003E-2</v>
      </c>
      <c r="Q148">
        <v>9.6</v>
      </c>
      <c r="R148">
        <v>8.4600000000000009</v>
      </c>
      <c r="S148">
        <v>62</v>
      </c>
      <c r="T148">
        <v>62.7</v>
      </c>
      <c r="U148">
        <v>0</v>
      </c>
      <c r="W148" t="s">
        <v>28</v>
      </c>
      <c r="X148">
        <f>IF(Merge1[[#This Row],[qc_status]]="PASS",1,0)</f>
        <v>1</v>
      </c>
      <c r="Y148" t="s">
        <v>302</v>
      </c>
    </row>
    <row r="149" spans="1:26" hidden="1" x14ac:dyDescent="0.35">
      <c r="A149" t="s">
        <v>303</v>
      </c>
      <c r="B149">
        <v>45120</v>
      </c>
      <c r="C149" t="s">
        <v>31</v>
      </c>
      <c r="D149" t="s">
        <v>1241</v>
      </c>
      <c r="E149" t="s">
        <v>1242</v>
      </c>
      <c r="F149" t="s">
        <v>37</v>
      </c>
      <c r="G149" t="s">
        <v>43</v>
      </c>
      <c r="H149" t="s">
        <v>33</v>
      </c>
      <c r="I149" t="s">
        <v>1258</v>
      </c>
      <c r="J149" t="s">
        <v>34</v>
      </c>
      <c r="K149">
        <v>1199.4000000000001</v>
      </c>
      <c r="L149">
        <v>4421.3</v>
      </c>
      <c r="M149">
        <v>858.6</v>
      </c>
      <c r="N149">
        <v>838.9</v>
      </c>
      <c r="O149">
        <v>-19.7</v>
      </c>
      <c r="P149">
        <v>-2.29E-2</v>
      </c>
      <c r="Q149">
        <v>4.7</v>
      </c>
      <c r="R149">
        <v>5.3</v>
      </c>
      <c r="S149">
        <v>65.2</v>
      </c>
      <c r="T149">
        <v>66.400000000000006</v>
      </c>
      <c r="U149">
        <v>0</v>
      </c>
      <c r="W149" t="s">
        <v>28</v>
      </c>
      <c r="X149">
        <f>IF(Merge1[[#This Row],[qc_status]]="PASS",1,0)</f>
        <v>1</v>
      </c>
      <c r="Y149" t="s">
        <v>304</v>
      </c>
    </row>
    <row r="150" spans="1:26" hidden="1" x14ac:dyDescent="0.35">
      <c r="A150" t="s">
        <v>305</v>
      </c>
      <c r="B150">
        <v>45121</v>
      </c>
      <c r="C150" t="s">
        <v>31</v>
      </c>
      <c r="D150" t="s">
        <v>1241</v>
      </c>
      <c r="E150" t="s">
        <v>1242</v>
      </c>
      <c r="F150" t="s">
        <v>24</v>
      </c>
      <c r="G150" t="s">
        <v>43</v>
      </c>
      <c r="H150" t="s">
        <v>55</v>
      </c>
      <c r="I150" t="s">
        <v>1253</v>
      </c>
      <c r="J150" t="s">
        <v>34</v>
      </c>
      <c r="K150">
        <v>691.8</v>
      </c>
      <c r="L150">
        <v>2666.3</v>
      </c>
      <c r="M150">
        <v>473.6</v>
      </c>
      <c r="N150">
        <v>497.9</v>
      </c>
      <c r="O150">
        <v>24.3</v>
      </c>
      <c r="P150">
        <v>5.1299999999999998E-2</v>
      </c>
      <c r="Q150">
        <v>16.5</v>
      </c>
      <c r="R150">
        <v>18.77</v>
      </c>
      <c r="S150">
        <v>69.5</v>
      </c>
      <c r="T150">
        <v>69.400000000000006</v>
      </c>
      <c r="U150">
        <v>3</v>
      </c>
      <c r="V150" t="s">
        <v>45</v>
      </c>
      <c r="W150" t="s">
        <v>28</v>
      </c>
      <c r="X150">
        <f>IF(Merge1[[#This Row],[qc_status]]="PASS",1,0)</f>
        <v>1</v>
      </c>
      <c r="Y150" t="s">
        <v>306</v>
      </c>
      <c r="Z150" t="s">
        <v>40</v>
      </c>
    </row>
    <row r="151" spans="1:26" x14ac:dyDescent="0.35">
      <c r="A151" t="s">
        <v>307</v>
      </c>
      <c r="B151">
        <v>45132</v>
      </c>
      <c r="C151" t="s">
        <v>51</v>
      </c>
      <c r="D151" t="s">
        <v>1244</v>
      </c>
      <c r="E151" t="s">
        <v>1242</v>
      </c>
      <c r="F151" t="s">
        <v>24</v>
      </c>
      <c r="G151" t="s">
        <v>43</v>
      </c>
      <c r="H151" t="s">
        <v>33</v>
      </c>
      <c r="I151" t="s">
        <v>1258</v>
      </c>
      <c r="J151" t="s">
        <v>27</v>
      </c>
      <c r="K151">
        <v>732.5</v>
      </c>
      <c r="L151">
        <v>2905.1</v>
      </c>
      <c r="M151">
        <v>463.4</v>
      </c>
      <c r="N151">
        <v>485.8</v>
      </c>
      <c r="O151">
        <v>22.4</v>
      </c>
      <c r="P151">
        <v>4.8300000000000003E-2</v>
      </c>
      <c r="Q151">
        <v>9.6999999999999993</v>
      </c>
      <c r="R151">
        <v>10.3</v>
      </c>
      <c r="S151" s="60">
        <v>69.8</v>
      </c>
      <c r="T151" s="60">
        <v>68.599999999999994</v>
      </c>
      <c r="U151">
        <v>5</v>
      </c>
      <c r="V151" t="s">
        <v>239</v>
      </c>
      <c r="W151" t="s">
        <v>28</v>
      </c>
      <c r="X151">
        <f>IF(Merge1[[#This Row],[qc_status]]="PASS",1,0)</f>
        <v>1</v>
      </c>
      <c r="Y151" t="s">
        <v>308</v>
      </c>
      <c r="Z151" t="s">
        <v>40</v>
      </c>
    </row>
    <row r="152" spans="1:26" x14ac:dyDescent="0.35">
      <c r="A152" t="s">
        <v>309</v>
      </c>
      <c r="B152">
        <v>45132</v>
      </c>
      <c r="C152" t="s">
        <v>23</v>
      </c>
      <c r="D152" t="s">
        <v>1235</v>
      </c>
      <c r="E152" t="s">
        <v>1236</v>
      </c>
      <c r="F152" t="s">
        <v>37</v>
      </c>
      <c r="G152" t="s">
        <v>89</v>
      </c>
      <c r="H152" t="s">
        <v>33</v>
      </c>
      <c r="I152" t="s">
        <v>1258</v>
      </c>
      <c r="J152" t="s">
        <v>27</v>
      </c>
      <c r="K152">
        <v>609.1</v>
      </c>
      <c r="L152">
        <v>2157</v>
      </c>
      <c r="M152">
        <v>415.9</v>
      </c>
      <c r="N152">
        <v>441.5</v>
      </c>
      <c r="O152">
        <v>25.6</v>
      </c>
      <c r="P152">
        <v>6.1600000000000002E-2</v>
      </c>
      <c r="Q152">
        <v>12.6</v>
      </c>
      <c r="R152">
        <v>10.59</v>
      </c>
      <c r="S152" s="60">
        <v>64.599999999999994</v>
      </c>
      <c r="T152" s="60">
        <v>64.400000000000006</v>
      </c>
      <c r="U152">
        <v>0</v>
      </c>
      <c r="W152" t="s">
        <v>28</v>
      </c>
      <c r="X152">
        <f>IF(Merge1[[#This Row],[qc_status]]="PASS",1,0)</f>
        <v>1</v>
      </c>
      <c r="Y152" t="s">
        <v>310</v>
      </c>
    </row>
    <row r="153" spans="1:26" x14ac:dyDescent="0.35">
      <c r="A153" t="s">
        <v>309</v>
      </c>
      <c r="B153">
        <v>45132</v>
      </c>
      <c r="C153" t="s">
        <v>23</v>
      </c>
      <c r="D153" t="s">
        <v>1235</v>
      </c>
      <c r="E153" t="s">
        <v>1236</v>
      </c>
      <c r="F153" t="s">
        <v>37</v>
      </c>
      <c r="G153" t="s">
        <v>89</v>
      </c>
      <c r="H153" t="s">
        <v>33</v>
      </c>
      <c r="I153" t="s">
        <v>1258</v>
      </c>
      <c r="J153" t="s">
        <v>27</v>
      </c>
      <c r="K153">
        <v>609.1</v>
      </c>
      <c r="L153">
        <v>2157</v>
      </c>
      <c r="M153">
        <v>415.9</v>
      </c>
      <c r="N153">
        <v>441.5</v>
      </c>
      <c r="O153">
        <v>25.6</v>
      </c>
      <c r="P153">
        <v>6.1600000000000002E-2</v>
      </c>
      <c r="Q153">
        <v>12.6</v>
      </c>
      <c r="R153">
        <v>10.59</v>
      </c>
      <c r="S153" s="60">
        <v>64.599999999999994</v>
      </c>
      <c r="T153" s="60">
        <v>64.400000000000006</v>
      </c>
      <c r="U153">
        <v>0</v>
      </c>
      <c r="W153" t="s">
        <v>28</v>
      </c>
      <c r="X153">
        <f>IF(Merge1[[#This Row],[qc_status]]="PASS",1,0)</f>
        <v>1</v>
      </c>
      <c r="Y153" t="s">
        <v>310</v>
      </c>
    </row>
    <row r="154" spans="1:26" x14ac:dyDescent="0.35">
      <c r="A154" t="s">
        <v>311</v>
      </c>
      <c r="B154">
        <v>45133</v>
      </c>
      <c r="C154" t="s">
        <v>51</v>
      </c>
      <c r="D154" t="s">
        <v>1244</v>
      </c>
      <c r="E154" t="s">
        <v>1242</v>
      </c>
      <c r="F154" t="s">
        <v>75</v>
      </c>
      <c r="G154" t="s">
        <v>25</v>
      </c>
      <c r="H154" t="s">
        <v>44</v>
      </c>
      <c r="I154" t="s">
        <v>1255</v>
      </c>
      <c r="J154" t="s">
        <v>27</v>
      </c>
      <c r="K154">
        <v>598.70000000000005</v>
      </c>
      <c r="L154">
        <v>3005.3</v>
      </c>
      <c r="M154">
        <v>354.8</v>
      </c>
      <c r="N154">
        <v>359.8</v>
      </c>
      <c r="O154">
        <v>5</v>
      </c>
      <c r="P154">
        <v>1.41E-2</v>
      </c>
      <c r="Q154">
        <v>11.5</v>
      </c>
      <c r="R154">
        <v>15.67</v>
      </c>
      <c r="S154" s="60">
        <v>64.900000000000006</v>
      </c>
      <c r="T154" s="60">
        <v>64.5</v>
      </c>
      <c r="U154">
        <v>2</v>
      </c>
      <c r="W154" t="s">
        <v>28</v>
      </c>
      <c r="X154">
        <f>IF(Merge1[[#This Row],[qc_status]]="PASS",1,0)</f>
        <v>1</v>
      </c>
      <c r="Y154" t="s">
        <v>312</v>
      </c>
    </row>
    <row r="155" spans="1:26" hidden="1" x14ac:dyDescent="0.35">
      <c r="A155" t="s">
        <v>313</v>
      </c>
      <c r="B155">
        <v>45136</v>
      </c>
      <c r="C155" t="s">
        <v>31</v>
      </c>
      <c r="D155" t="s">
        <v>1241</v>
      </c>
      <c r="E155" t="s">
        <v>1242</v>
      </c>
      <c r="F155" t="s">
        <v>92</v>
      </c>
      <c r="G155" t="s">
        <v>89</v>
      </c>
      <c r="H155" t="s">
        <v>44</v>
      </c>
      <c r="I155" t="s">
        <v>1255</v>
      </c>
      <c r="J155" t="s">
        <v>34</v>
      </c>
      <c r="K155">
        <v>887.9</v>
      </c>
      <c r="L155">
        <v>3316.2</v>
      </c>
      <c r="M155">
        <v>594.1</v>
      </c>
      <c r="N155">
        <v>593.70000000000005</v>
      </c>
      <c r="O155">
        <v>-0.4</v>
      </c>
      <c r="P155">
        <v>-6.9999999999999999E-4</v>
      </c>
      <c r="Q155">
        <v>7.7</v>
      </c>
      <c r="R155">
        <v>8.61</v>
      </c>
      <c r="S155">
        <v>64.400000000000006</v>
      </c>
      <c r="T155">
        <v>63.9</v>
      </c>
      <c r="U155">
        <v>0.5</v>
      </c>
      <c r="V155" t="s">
        <v>86</v>
      </c>
      <c r="W155" t="s">
        <v>28</v>
      </c>
      <c r="X155">
        <f>IF(Merge1[[#This Row],[qc_status]]="PASS",1,0)</f>
        <v>1</v>
      </c>
      <c r="Y155" t="s">
        <v>314</v>
      </c>
    </row>
    <row r="156" spans="1:26" hidden="1" x14ac:dyDescent="0.35">
      <c r="A156" t="s">
        <v>315</v>
      </c>
      <c r="B156">
        <v>45137</v>
      </c>
      <c r="C156" t="s">
        <v>97</v>
      </c>
      <c r="D156" t="s">
        <v>1238</v>
      </c>
      <c r="E156" t="s">
        <v>1239</v>
      </c>
      <c r="F156" t="s">
        <v>37</v>
      </c>
      <c r="G156" t="s">
        <v>48</v>
      </c>
      <c r="H156" t="s">
        <v>59</v>
      </c>
      <c r="I156" t="s">
        <v>1257</v>
      </c>
      <c r="J156" t="s">
        <v>34</v>
      </c>
      <c r="K156">
        <v>1165.9000000000001</v>
      </c>
      <c r="L156">
        <v>6150.2</v>
      </c>
      <c r="M156">
        <v>678.3</v>
      </c>
      <c r="N156">
        <v>651.5</v>
      </c>
      <c r="O156">
        <v>-26.8</v>
      </c>
      <c r="P156">
        <v>-3.95E-2</v>
      </c>
      <c r="Q156">
        <v>15.1</v>
      </c>
      <c r="R156">
        <v>15.76</v>
      </c>
      <c r="S156">
        <v>62.9</v>
      </c>
      <c r="T156">
        <v>60.4</v>
      </c>
      <c r="U156">
        <v>0</v>
      </c>
      <c r="W156" t="s">
        <v>28</v>
      </c>
      <c r="X156">
        <f>IF(Merge1[[#This Row],[qc_status]]="PASS",1,0)</f>
        <v>1</v>
      </c>
      <c r="Y156" t="s">
        <v>316</v>
      </c>
      <c r="Z156" t="s">
        <v>61</v>
      </c>
    </row>
    <row r="157" spans="1:26" x14ac:dyDescent="0.35">
      <c r="A157" t="s">
        <v>317</v>
      </c>
      <c r="B157">
        <v>45143</v>
      </c>
      <c r="C157" t="s">
        <v>42</v>
      </c>
      <c r="D157" t="s">
        <v>1246</v>
      </c>
      <c r="E157" t="s">
        <v>1247</v>
      </c>
      <c r="F157" t="s">
        <v>54</v>
      </c>
      <c r="G157" t="s">
        <v>48</v>
      </c>
      <c r="H157" t="s">
        <v>44</v>
      </c>
      <c r="I157" t="s">
        <v>1255</v>
      </c>
      <c r="J157" t="s">
        <v>27</v>
      </c>
      <c r="K157">
        <v>471.6</v>
      </c>
      <c r="L157">
        <v>2569.5</v>
      </c>
      <c r="M157">
        <v>320.2</v>
      </c>
      <c r="N157">
        <v>320</v>
      </c>
      <c r="O157">
        <v>-0.2</v>
      </c>
      <c r="P157">
        <v>-5.9999999999999995E-4</v>
      </c>
      <c r="Q157">
        <v>17.600000000000001</v>
      </c>
      <c r="R157">
        <v>21.6</v>
      </c>
      <c r="S157" s="60">
        <v>69.599999999999994</v>
      </c>
      <c r="T157" s="60">
        <v>68.3</v>
      </c>
      <c r="U157">
        <v>0</v>
      </c>
      <c r="W157" t="s">
        <v>28</v>
      </c>
      <c r="X157">
        <f>IF(Merge1[[#This Row],[qc_status]]="PASS",1,0)</f>
        <v>1</v>
      </c>
      <c r="Y157" t="s">
        <v>318</v>
      </c>
    </row>
    <row r="158" spans="1:26" x14ac:dyDescent="0.35">
      <c r="A158" t="s">
        <v>319</v>
      </c>
      <c r="B158">
        <v>45144</v>
      </c>
      <c r="C158" t="s">
        <v>31</v>
      </c>
      <c r="D158" t="s">
        <v>1241</v>
      </c>
      <c r="E158" t="s">
        <v>1242</v>
      </c>
      <c r="F158" t="s">
        <v>54</v>
      </c>
      <c r="G158" t="s">
        <v>43</v>
      </c>
      <c r="H158" t="s">
        <v>33</v>
      </c>
      <c r="I158" t="s">
        <v>1258</v>
      </c>
      <c r="J158" t="s">
        <v>27</v>
      </c>
      <c r="K158">
        <v>862.8</v>
      </c>
      <c r="L158">
        <v>3352.6</v>
      </c>
      <c r="M158">
        <v>543.4</v>
      </c>
      <c r="N158">
        <v>546.5</v>
      </c>
      <c r="O158">
        <v>3.1</v>
      </c>
      <c r="P158">
        <v>5.7000000000000002E-3</v>
      </c>
      <c r="Q158">
        <v>8.8000000000000007</v>
      </c>
      <c r="R158">
        <v>7.31</v>
      </c>
      <c r="S158" s="60">
        <v>63.9</v>
      </c>
      <c r="T158" s="60">
        <v>64.5</v>
      </c>
      <c r="U158">
        <v>0</v>
      </c>
      <c r="W158" t="s">
        <v>28</v>
      </c>
      <c r="X158">
        <f>IF(Merge1[[#This Row],[qc_status]]="PASS",1,0)</f>
        <v>1</v>
      </c>
      <c r="Y158" t="s">
        <v>320</v>
      </c>
    </row>
    <row r="159" spans="1:26" hidden="1" x14ac:dyDescent="0.35">
      <c r="A159" t="s">
        <v>321</v>
      </c>
      <c r="B159">
        <v>45146</v>
      </c>
      <c r="C159" t="s">
        <v>42</v>
      </c>
      <c r="D159" t="s">
        <v>1246</v>
      </c>
      <c r="E159" t="s">
        <v>1247</v>
      </c>
      <c r="F159" t="s">
        <v>75</v>
      </c>
      <c r="G159" t="s">
        <v>32</v>
      </c>
      <c r="H159" t="s">
        <v>55</v>
      </c>
      <c r="I159" t="s">
        <v>1253</v>
      </c>
      <c r="J159" t="s">
        <v>34</v>
      </c>
      <c r="K159">
        <v>540.9</v>
      </c>
      <c r="L159">
        <v>1997.5</v>
      </c>
      <c r="M159">
        <v>339.9</v>
      </c>
      <c r="N159">
        <v>334</v>
      </c>
      <c r="O159">
        <v>-5.9</v>
      </c>
      <c r="P159">
        <v>-1.7399999999999999E-2</v>
      </c>
      <c r="Q159">
        <v>11.9</v>
      </c>
      <c r="R159">
        <v>13.69</v>
      </c>
      <c r="S159">
        <v>66.8</v>
      </c>
      <c r="T159">
        <v>67.3</v>
      </c>
      <c r="U159">
        <v>0</v>
      </c>
      <c r="W159" t="s">
        <v>28</v>
      </c>
      <c r="X159">
        <f>IF(Merge1[[#This Row],[qc_status]]="PASS",1,0)</f>
        <v>1</v>
      </c>
      <c r="Y159" t="s">
        <v>322</v>
      </c>
    </row>
    <row r="160" spans="1:26" hidden="1" x14ac:dyDescent="0.35">
      <c r="A160" t="s">
        <v>323</v>
      </c>
      <c r="B160">
        <v>45154</v>
      </c>
      <c r="C160" t="s">
        <v>97</v>
      </c>
      <c r="D160" t="s">
        <v>1238</v>
      </c>
      <c r="E160" t="s">
        <v>1239</v>
      </c>
      <c r="F160" t="s">
        <v>54</v>
      </c>
      <c r="G160" t="s">
        <v>89</v>
      </c>
      <c r="H160" t="s">
        <v>44</v>
      </c>
      <c r="I160" t="s">
        <v>1255</v>
      </c>
      <c r="J160" t="s">
        <v>34</v>
      </c>
      <c r="K160">
        <v>484.6</v>
      </c>
      <c r="L160">
        <v>2362.8000000000002</v>
      </c>
      <c r="M160">
        <v>292.39999999999998</v>
      </c>
      <c r="N160">
        <v>297</v>
      </c>
      <c r="O160">
        <v>4.5999999999999996</v>
      </c>
      <c r="P160">
        <v>1.5699999999999999E-2</v>
      </c>
      <c r="Q160">
        <v>14</v>
      </c>
      <c r="R160">
        <v>14.42</v>
      </c>
      <c r="S160">
        <v>64.400000000000006</v>
      </c>
      <c r="T160">
        <v>66.7</v>
      </c>
      <c r="U160">
        <v>0.5</v>
      </c>
      <c r="W160" t="s">
        <v>38</v>
      </c>
      <c r="X160">
        <f>IF(Merge1[[#This Row],[qc_status]]="PASS",1,0)</f>
        <v>0</v>
      </c>
      <c r="Y160" t="s">
        <v>324</v>
      </c>
      <c r="Z160" t="s">
        <v>57</v>
      </c>
    </row>
    <row r="161" spans="1:26" x14ac:dyDescent="0.35">
      <c r="A161" t="s">
        <v>325</v>
      </c>
      <c r="B161">
        <v>45158</v>
      </c>
      <c r="C161" t="s">
        <v>97</v>
      </c>
      <c r="D161" t="s">
        <v>1238</v>
      </c>
      <c r="E161" t="s">
        <v>1239</v>
      </c>
      <c r="F161" t="s">
        <v>92</v>
      </c>
      <c r="G161" t="s">
        <v>25</v>
      </c>
      <c r="H161" t="s">
        <v>44</v>
      </c>
      <c r="I161" t="s">
        <v>1255</v>
      </c>
      <c r="J161" t="s">
        <v>27</v>
      </c>
      <c r="K161">
        <v>1012.9</v>
      </c>
      <c r="L161">
        <v>4438.6000000000004</v>
      </c>
      <c r="M161">
        <v>624.29999999999995</v>
      </c>
      <c r="N161">
        <v>607.4</v>
      </c>
      <c r="O161">
        <v>-16.899999999999999</v>
      </c>
      <c r="P161">
        <v>-2.7099999999999999E-2</v>
      </c>
      <c r="Q161">
        <v>10.5</v>
      </c>
      <c r="R161">
        <v>9.2100000000000009</v>
      </c>
      <c r="S161" s="60">
        <v>62.4</v>
      </c>
      <c r="T161" s="60">
        <v>61.7</v>
      </c>
      <c r="U161">
        <v>2</v>
      </c>
      <c r="V161" t="s">
        <v>146</v>
      </c>
      <c r="W161" t="s">
        <v>28</v>
      </c>
      <c r="X161">
        <f>IF(Merge1[[#This Row],[qc_status]]="PASS",1,0)</f>
        <v>1</v>
      </c>
      <c r="Y161" t="s">
        <v>326</v>
      </c>
    </row>
    <row r="162" spans="1:26" hidden="1" x14ac:dyDescent="0.35">
      <c r="A162" t="s">
        <v>327</v>
      </c>
      <c r="B162">
        <v>45160</v>
      </c>
      <c r="C162" t="s">
        <v>23</v>
      </c>
      <c r="D162" t="s">
        <v>1235</v>
      </c>
      <c r="E162" t="s">
        <v>1236</v>
      </c>
      <c r="F162" t="s">
        <v>24</v>
      </c>
      <c r="G162" t="s">
        <v>105</v>
      </c>
      <c r="H162" t="s">
        <v>33</v>
      </c>
      <c r="I162" t="s">
        <v>1258</v>
      </c>
      <c r="J162" t="s">
        <v>34</v>
      </c>
      <c r="K162">
        <v>1044</v>
      </c>
      <c r="L162">
        <v>5210.5</v>
      </c>
      <c r="M162">
        <v>729.9</v>
      </c>
      <c r="N162">
        <v>782.8</v>
      </c>
      <c r="O162">
        <v>52.9</v>
      </c>
      <c r="P162">
        <v>7.2499999999999995E-2</v>
      </c>
      <c r="Q162">
        <v>9.5</v>
      </c>
      <c r="R162">
        <v>13.21</v>
      </c>
      <c r="S162">
        <v>63.5</v>
      </c>
      <c r="T162">
        <v>62.6</v>
      </c>
      <c r="U162">
        <v>0</v>
      </c>
      <c r="W162" t="s">
        <v>28</v>
      </c>
      <c r="X162">
        <f>IF(Merge1[[#This Row],[qc_status]]="PASS",1,0)</f>
        <v>1</v>
      </c>
      <c r="Y162" t="s">
        <v>328</v>
      </c>
    </row>
    <row r="163" spans="1:26" hidden="1" x14ac:dyDescent="0.35">
      <c r="A163" t="s">
        <v>327</v>
      </c>
      <c r="B163">
        <v>45160</v>
      </c>
      <c r="C163" t="s">
        <v>23</v>
      </c>
      <c r="D163" t="s">
        <v>1235</v>
      </c>
      <c r="E163" t="s">
        <v>1236</v>
      </c>
      <c r="F163" t="s">
        <v>24</v>
      </c>
      <c r="G163" t="s">
        <v>105</v>
      </c>
      <c r="H163" t="s">
        <v>33</v>
      </c>
      <c r="I163" t="s">
        <v>1258</v>
      </c>
      <c r="J163" t="s">
        <v>34</v>
      </c>
      <c r="K163">
        <v>1044</v>
      </c>
      <c r="L163">
        <v>5210.5</v>
      </c>
      <c r="M163">
        <v>729.9</v>
      </c>
      <c r="N163">
        <v>782.8</v>
      </c>
      <c r="O163">
        <v>52.9</v>
      </c>
      <c r="P163">
        <v>7.2499999999999995E-2</v>
      </c>
      <c r="Q163">
        <v>9.5</v>
      </c>
      <c r="R163">
        <v>13.21</v>
      </c>
      <c r="S163">
        <v>63.5</v>
      </c>
      <c r="T163">
        <v>62.6</v>
      </c>
      <c r="U163">
        <v>0</v>
      </c>
      <c r="W163" t="s">
        <v>28</v>
      </c>
      <c r="X163">
        <f>IF(Merge1[[#This Row],[qc_status]]="PASS",1,0)</f>
        <v>1</v>
      </c>
      <c r="Y163" t="s">
        <v>328</v>
      </c>
    </row>
    <row r="164" spans="1:26" hidden="1" x14ac:dyDescent="0.35">
      <c r="A164" t="s">
        <v>329</v>
      </c>
      <c r="B164">
        <v>45163</v>
      </c>
      <c r="C164" t="s">
        <v>51</v>
      </c>
      <c r="D164" t="s">
        <v>1244</v>
      </c>
      <c r="E164" t="s">
        <v>1242</v>
      </c>
      <c r="F164" t="s">
        <v>92</v>
      </c>
      <c r="G164" t="s">
        <v>32</v>
      </c>
      <c r="H164" t="s">
        <v>44</v>
      </c>
      <c r="I164" t="s">
        <v>1255</v>
      </c>
      <c r="J164" t="s">
        <v>34</v>
      </c>
      <c r="K164">
        <v>929.5</v>
      </c>
      <c r="L164">
        <v>4245.6000000000004</v>
      </c>
      <c r="M164">
        <v>626.1</v>
      </c>
      <c r="N164">
        <v>635.6</v>
      </c>
      <c r="O164">
        <v>9.5</v>
      </c>
      <c r="P164">
        <v>1.52E-2</v>
      </c>
      <c r="Q164">
        <v>6.3</v>
      </c>
      <c r="R164">
        <v>7.27</v>
      </c>
      <c r="S164">
        <v>68.400000000000006</v>
      </c>
      <c r="T164">
        <v>68.8</v>
      </c>
      <c r="U164">
        <v>1</v>
      </c>
      <c r="W164" t="s">
        <v>28</v>
      </c>
      <c r="X164">
        <f>IF(Merge1[[#This Row],[qc_status]]="PASS",1,0)</f>
        <v>1</v>
      </c>
      <c r="Y164" t="s">
        <v>330</v>
      </c>
    </row>
    <row r="165" spans="1:26" x14ac:dyDescent="0.35">
      <c r="A165" t="s">
        <v>331</v>
      </c>
      <c r="B165">
        <v>45166</v>
      </c>
      <c r="C165" t="s">
        <v>31</v>
      </c>
      <c r="D165" t="s">
        <v>1241</v>
      </c>
      <c r="E165" t="s">
        <v>1242</v>
      </c>
      <c r="F165" t="s">
        <v>24</v>
      </c>
      <c r="G165" t="s">
        <v>48</v>
      </c>
      <c r="H165" t="s">
        <v>44</v>
      </c>
      <c r="I165" t="s">
        <v>1255</v>
      </c>
      <c r="J165" t="s">
        <v>27</v>
      </c>
      <c r="K165">
        <v>721.9</v>
      </c>
      <c r="L165">
        <v>2678.5</v>
      </c>
      <c r="M165">
        <v>509</v>
      </c>
      <c r="N165">
        <v>502.9</v>
      </c>
      <c r="O165">
        <v>-6.1</v>
      </c>
      <c r="P165">
        <v>-1.2E-2</v>
      </c>
      <c r="Q165">
        <v>15</v>
      </c>
      <c r="R165">
        <v>20.54</v>
      </c>
      <c r="S165" s="60">
        <v>64.599999999999994</v>
      </c>
      <c r="T165" s="60">
        <v>65.5</v>
      </c>
      <c r="U165">
        <v>1</v>
      </c>
      <c r="V165" t="s">
        <v>100</v>
      </c>
      <c r="W165" t="s">
        <v>28</v>
      </c>
      <c r="X165">
        <f>IF(Merge1[[#This Row],[qc_status]]="PASS",1,0)</f>
        <v>1</v>
      </c>
      <c r="Y165" t="s">
        <v>332</v>
      </c>
    </row>
    <row r="166" spans="1:26" x14ac:dyDescent="0.35">
      <c r="A166" t="s">
        <v>333</v>
      </c>
      <c r="B166">
        <v>45173</v>
      </c>
      <c r="C166" t="s">
        <v>31</v>
      </c>
      <c r="D166" t="s">
        <v>1241</v>
      </c>
      <c r="E166" t="s">
        <v>1242</v>
      </c>
      <c r="F166" t="s">
        <v>75</v>
      </c>
      <c r="G166" t="s">
        <v>48</v>
      </c>
      <c r="H166" t="s">
        <v>26</v>
      </c>
      <c r="I166" t="s">
        <v>1260</v>
      </c>
      <c r="J166" t="s">
        <v>27</v>
      </c>
      <c r="K166">
        <v>952.6</v>
      </c>
      <c r="L166">
        <v>3426</v>
      </c>
      <c r="M166">
        <v>588.5</v>
      </c>
      <c r="N166">
        <v>581.20000000000005</v>
      </c>
      <c r="O166">
        <v>-7.3</v>
      </c>
      <c r="P166">
        <v>-1.24E-2</v>
      </c>
      <c r="Q166">
        <v>17.399999999999999</v>
      </c>
      <c r="R166">
        <v>16.13</v>
      </c>
      <c r="S166" s="60">
        <v>61.2</v>
      </c>
      <c r="T166" s="60">
        <v>62.1</v>
      </c>
      <c r="U166">
        <v>0</v>
      </c>
      <c r="W166" t="s">
        <v>28</v>
      </c>
      <c r="X166">
        <f>IF(Merge1[[#This Row],[qc_status]]="PASS",1,0)</f>
        <v>1</v>
      </c>
      <c r="Y166" t="s">
        <v>334</v>
      </c>
    </row>
    <row r="167" spans="1:26" x14ac:dyDescent="0.35">
      <c r="A167" t="s">
        <v>335</v>
      </c>
      <c r="B167">
        <v>45177</v>
      </c>
      <c r="C167" t="s">
        <v>23</v>
      </c>
      <c r="D167" t="s">
        <v>1235</v>
      </c>
      <c r="E167" t="s">
        <v>1236</v>
      </c>
      <c r="F167" t="s">
        <v>92</v>
      </c>
      <c r="G167" t="s">
        <v>89</v>
      </c>
      <c r="H167" t="s">
        <v>59</v>
      </c>
      <c r="I167" t="s">
        <v>1257</v>
      </c>
      <c r="J167" t="s">
        <v>27</v>
      </c>
      <c r="K167">
        <v>1151.9000000000001</v>
      </c>
      <c r="L167">
        <v>5579</v>
      </c>
      <c r="M167">
        <v>818.2</v>
      </c>
      <c r="N167">
        <v>841.1</v>
      </c>
      <c r="O167">
        <v>22.9</v>
      </c>
      <c r="P167">
        <v>2.8000000000000001E-2</v>
      </c>
      <c r="Q167">
        <v>8.1999999999999993</v>
      </c>
      <c r="R167">
        <v>7.95</v>
      </c>
      <c r="S167" s="60">
        <v>65.099999999999994</v>
      </c>
      <c r="T167" s="60">
        <v>67.2</v>
      </c>
      <c r="U167">
        <v>0</v>
      </c>
      <c r="W167" t="s">
        <v>38</v>
      </c>
      <c r="X167">
        <f>IF(Merge1[[#This Row],[qc_status]]="PASS",1,0)</f>
        <v>0</v>
      </c>
      <c r="Y167" t="s">
        <v>336</v>
      </c>
      <c r="Z167" t="s">
        <v>57</v>
      </c>
    </row>
    <row r="168" spans="1:26" x14ac:dyDescent="0.35">
      <c r="A168" t="s">
        <v>335</v>
      </c>
      <c r="B168">
        <v>45177</v>
      </c>
      <c r="C168" t="s">
        <v>23</v>
      </c>
      <c r="D168" t="s">
        <v>1235</v>
      </c>
      <c r="E168" t="s">
        <v>1236</v>
      </c>
      <c r="F168" t="s">
        <v>92</v>
      </c>
      <c r="G168" t="s">
        <v>89</v>
      </c>
      <c r="H168" t="s">
        <v>59</v>
      </c>
      <c r="I168" t="s">
        <v>1257</v>
      </c>
      <c r="J168" t="s">
        <v>27</v>
      </c>
      <c r="K168">
        <v>1151.9000000000001</v>
      </c>
      <c r="L168">
        <v>5579</v>
      </c>
      <c r="M168">
        <v>818.2</v>
      </c>
      <c r="N168">
        <v>841.1</v>
      </c>
      <c r="O168">
        <v>22.9</v>
      </c>
      <c r="P168">
        <v>2.8000000000000001E-2</v>
      </c>
      <c r="Q168">
        <v>8.1999999999999993</v>
      </c>
      <c r="R168">
        <v>7.95</v>
      </c>
      <c r="S168" s="60">
        <v>65.099999999999994</v>
      </c>
      <c r="T168" s="60">
        <v>67.2</v>
      </c>
      <c r="U168">
        <v>0</v>
      </c>
      <c r="W168" t="s">
        <v>38</v>
      </c>
      <c r="X168">
        <f>IF(Merge1[[#This Row],[qc_status]]="PASS",1,0)</f>
        <v>0</v>
      </c>
      <c r="Y168" t="s">
        <v>336</v>
      </c>
      <c r="Z168" t="s">
        <v>57</v>
      </c>
    </row>
    <row r="169" spans="1:26" hidden="1" x14ac:dyDescent="0.35">
      <c r="A169" t="s">
        <v>337</v>
      </c>
      <c r="B169">
        <v>45178</v>
      </c>
      <c r="C169" t="s">
        <v>42</v>
      </c>
      <c r="D169" t="s">
        <v>1246</v>
      </c>
      <c r="E169" t="s">
        <v>1247</v>
      </c>
      <c r="F169" t="s">
        <v>37</v>
      </c>
      <c r="G169" t="s">
        <v>105</v>
      </c>
      <c r="H169" t="s">
        <v>33</v>
      </c>
      <c r="I169" t="s">
        <v>1258</v>
      </c>
      <c r="J169" t="s">
        <v>34</v>
      </c>
      <c r="K169">
        <v>825.2</v>
      </c>
      <c r="L169">
        <v>4001.4</v>
      </c>
      <c r="M169">
        <v>585.20000000000005</v>
      </c>
      <c r="N169">
        <v>598.79999999999995</v>
      </c>
      <c r="O169">
        <v>13.6</v>
      </c>
      <c r="P169">
        <v>2.3199999999999998E-2</v>
      </c>
      <c r="Q169">
        <v>9.6999999999999993</v>
      </c>
      <c r="R169">
        <v>7.87</v>
      </c>
      <c r="S169">
        <v>62.2</v>
      </c>
      <c r="T169">
        <v>60.9</v>
      </c>
      <c r="U169">
        <v>3</v>
      </c>
      <c r="W169" t="s">
        <v>28</v>
      </c>
      <c r="X169">
        <f>IF(Merge1[[#This Row],[qc_status]]="PASS",1,0)</f>
        <v>1</v>
      </c>
      <c r="Y169" t="s">
        <v>338</v>
      </c>
      <c r="Z169" t="s">
        <v>40</v>
      </c>
    </row>
    <row r="170" spans="1:26" x14ac:dyDescent="0.35">
      <c r="A170" t="s">
        <v>339</v>
      </c>
      <c r="B170">
        <v>45178</v>
      </c>
      <c r="C170" t="s">
        <v>31</v>
      </c>
      <c r="D170" t="s">
        <v>1241</v>
      </c>
      <c r="E170" t="s">
        <v>1242</v>
      </c>
      <c r="F170" t="s">
        <v>37</v>
      </c>
      <c r="G170" t="s">
        <v>25</v>
      </c>
      <c r="H170" t="s">
        <v>59</v>
      </c>
      <c r="I170" t="s">
        <v>1257</v>
      </c>
      <c r="J170" t="s">
        <v>27</v>
      </c>
      <c r="K170">
        <v>895.6</v>
      </c>
      <c r="L170">
        <v>3874.6</v>
      </c>
      <c r="M170">
        <v>567.79999999999995</v>
      </c>
      <c r="N170">
        <v>554.6</v>
      </c>
      <c r="O170">
        <v>-13.2</v>
      </c>
      <c r="P170">
        <v>-2.3199999999999998E-2</v>
      </c>
      <c r="Q170">
        <v>11.8</v>
      </c>
      <c r="R170">
        <v>9.77</v>
      </c>
      <c r="S170" s="60">
        <v>60.1</v>
      </c>
      <c r="T170" s="60">
        <v>57.7</v>
      </c>
      <c r="U170">
        <v>0</v>
      </c>
      <c r="W170" t="s">
        <v>38</v>
      </c>
      <c r="X170">
        <f>IF(Merge1[[#This Row],[qc_status]]="PASS",1,0)</f>
        <v>0</v>
      </c>
      <c r="Y170" t="s">
        <v>340</v>
      </c>
      <c r="Z170" t="s">
        <v>61</v>
      </c>
    </row>
    <row r="171" spans="1:26" hidden="1" x14ac:dyDescent="0.35">
      <c r="A171" t="s">
        <v>341</v>
      </c>
      <c r="B171">
        <v>45179</v>
      </c>
      <c r="C171" t="s">
        <v>31</v>
      </c>
      <c r="D171" t="s">
        <v>1241</v>
      </c>
      <c r="E171" t="s">
        <v>1242</v>
      </c>
      <c r="F171" t="s">
        <v>75</v>
      </c>
      <c r="G171" t="s">
        <v>32</v>
      </c>
      <c r="H171" t="s">
        <v>26</v>
      </c>
      <c r="I171" t="s">
        <v>1260</v>
      </c>
      <c r="J171" t="s">
        <v>34</v>
      </c>
      <c r="K171">
        <v>493.8</v>
      </c>
      <c r="L171">
        <v>2317.5</v>
      </c>
      <c r="M171">
        <v>297.5</v>
      </c>
      <c r="N171">
        <v>257.3</v>
      </c>
      <c r="O171">
        <v>-40.200000000000003</v>
      </c>
      <c r="P171">
        <v>-0.1351</v>
      </c>
      <c r="Q171">
        <v>4.0999999999999996</v>
      </c>
      <c r="R171">
        <v>4.33</v>
      </c>
      <c r="S171">
        <v>68.3</v>
      </c>
      <c r="T171">
        <v>68.8</v>
      </c>
      <c r="U171">
        <v>3</v>
      </c>
      <c r="W171" t="s">
        <v>28</v>
      </c>
      <c r="X171">
        <f>IF(Merge1[[#This Row],[qc_status]]="PASS",1,0)</f>
        <v>1</v>
      </c>
      <c r="Y171" t="s">
        <v>342</v>
      </c>
      <c r="Z171" t="s">
        <v>66</v>
      </c>
    </row>
    <row r="172" spans="1:26" hidden="1" x14ac:dyDescent="0.35">
      <c r="A172" t="s">
        <v>343</v>
      </c>
      <c r="B172">
        <v>45179</v>
      </c>
      <c r="C172" t="s">
        <v>97</v>
      </c>
      <c r="D172" t="s">
        <v>1238</v>
      </c>
      <c r="E172" t="s">
        <v>1239</v>
      </c>
      <c r="F172" t="s">
        <v>37</v>
      </c>
      <c r="G172" t="s">
        <v>43</v>
      </c>
      <c r="H172" t="s">
        <v>44</v>
      </c>
      <c r="I172" t="s">
        <v>1255</v>
      </c>
      <c r="J172" t="s">
        <v>34</v>
      </c>
      <c r="K172">
        <v>444.2</v>
      </c>
      <c r="L172">
        <v>2210.4</v>
      </c>
      <c r="M172">
        <v>303.8</v>
      </c>
      <c r="N172">
        <v>307.89999999999998</v>
      </c>
      <c r="O172">
        <v>4.0999999999999996</v>
      </c>
      <c r="P172">
        <v>1.35E-2</v>
      </c>
      <c r="Q172">
        <v>14.1</v>
      </c>
      <c r="R172">
        <v>15.68</v>
      </c>
      <c r="S172">
        <v>62.2</v>
      </c>
      <c r="T172">
        <v>64.3</v>
      </c>
      <c r="U172">
        <v>5</v>
      </c>
      <c r="W172" t="s">
        <v>28</v>
      </c>
      <c r="X172">
        <f>IF(Merge1[[#This Row],[qc_status]]="PASS",1,0)</f>
        <v>1</v>
      </c>
      <c r="Y172" t="s">
        <v>344</v>
      </c>
      <c r="Z172" t="s">
        <v>57</v>
      </c>
    </row>
    <row r="173" spans="1:26" hidden="1" x14ac:dyDescent="0.35">
      <c r="A173" t="s">
        <v>345</v>
      </c>
      <c r="B173">
        <v>45180</v>
      </c>
      <c r="C173" t="s">
        <v>23</v>
      </c>
      <c r="D173" t="s">
        <v>1235</v>
      </c>
      <c r="E173" t="s">
        <v>1236</v>
      </c>
      <c r="F173" t="s">
        <v>75</v>
      </c>
      <c r="G173" t="s">
        <v>32</v>
      </c>
      <c r="H173" t="s">
        <v>26</v>
      </c>
      <c r="I173" t="s">
        <v>1260</v>
      </c>
      <c r="J173" t="s">
        <v>34</v>
      </c>
      <c r="K173">
        <v>821.3</v>
      </c>
      <c r="L173">
        <v>4290.8999999999996</v>
      </c>
      <c r="M173">
        <v>550.29999999999995</v>
      </c>
      <c r="N173">
        <v>561</v>
      </c>
      <c r="O173">
        <v>10.7</v>
      </c>
      <c r="P173">
        <v>1.9400000000000001E-2</v>
      </c>
      <c r="Q173">
        <v>12.2</v>
      </c>
      <c r="R173">
        <v>12.82</v>
      </c>
      <c r="S173">
        <v>63.6</v>
      </c>
      <c r="T173">
        <v>63.2</v>
      </c>
      <c r="U173">
        <v>0</v>
      </c>
      <c r="W173" t="s">
        <v>28</v>
      </c>
      <c r="X173">
        <f>IF(Merge1[[#This Row],[qc_status]]="PASS",1,0)</f>
        <v>1</v>
      </c>
      <c r="Y173" t="s">
        <v>346</v>
      </c>
    </row>
    <row r="174" spans="1:26" hidden="1" x14ac:dyDescent="0.35">
      <c r="A174" t="s">
        <v>345</v>
      </c>
      <c r="B174">
        <v>45180</v>
      </c>
      <c r="C174" t="s">
        <v>23</v>
      </c>
      <c r="D174" t="s">
        <v>1235</v>
      </c>
      <c r="E174" t="s">
        <v>1236</v>
      </c>
      <c r="F174" t="s">
        <v>75</v>
      </c>
      <c r="G174" t="s">
        <v>32</v>
      </c>
      <c r="H174" t="s">
        <v>26</v>
      </c>
      <c r="I174" t="s">
        <v>1260</v>
      </c>
      <c r="J174" t="s">
        <v>34</v>
      </c>
      <c r="K174">
        <v>821.3</v>
      </c>
      <c r="L174">
        <v>4290.8999999999996</v>
      </c>
      <c r="M174">
        <v>550.29999999999995</v>
      </c>
      <c r="N174">
        <v>561</v>
      </c>
      <c r="O174">
        <v>10.7</v>
      </c>
      <c r="P174">
        <v>1.9400000000000001E-2</v>
      </c>
      <c r="Q174">
        <v>12.2</v>
      </c>
      <c r="R174">
        <v>12.82</v>
      </c>
      <c r="S174">
        <v>63.6</v>
      </c>
      <c r="T174">
        <v>63.2</v>
      </c>
      <c r="U174">
        <v>0</v>
      </c>
      <c r="W174" t="s">
        <v>28</v>
      </c>
      <c r="X174">
        <f>IF(Merge1[[#This Row],[qc_status]]="PASS",1,0)</f>
        <v>1</v>
      </c>
      <c r="Y174" t="s">
        <v>346</v>
      </c>
    </row>
    <row r="175" spans="1:26" hidden="1" x14ac:dyDescent="0.35">
      <c r="A175" t="s">
        <v>347</v>
      </c>
      <c r="B175">
        <v>45185</v>
      </c>
      <c r="C175" t="s">
        <v>31</v>
      </c>
      <c r="D175" t="s">
        <v>1241</v>
      </c>
      <c r="E175" t="s">
        <v>1242</v>
      </c>
      <c r="F175" t="s">
        <v>54</v>
      </c>
      <c r="G175" t="s">
        <v>32</v>
      </c>
      <c r="H175" t="s">
        <v>59</v>
      </c>
      <c r="I175" t="s">
        <v>1257</v>
      </c>
      <c r="J175" t="s">
        <v>34</v>
      </c>
      <c r="K175">
        <v>1191.5999999999999</v>
      </c>
      <c r="L175">
        <v>5473.3</v>
      </c>
      <c r="M175">
        <v>792.5</v>
      </c>
      <c r="N175">
        <v>753.4</v>
      </c>
      <c r="O175">
        <v>-39.1</v>
      </c>
      <c r="P175">
        <v>-4.9299999999999997E-2</v>
      </c>
      <c r="Q175">
        <v>16.3</v>
      </c>
      <c r="R175">
        <v>15.52</v>
      </c>
      <c r="S175">
        <v>66.099999999999994</v>
      </c>
      <c r="T175">
        <v>65.8</v>
      </c>
      <c r="U175">
        <v>0.5</v>
      </c>
      <c r="V175" t="s">
        <v>100</v>
      </c>
      <c r="W175" t="s">
        <v>28</v>
      </c>
      <c r="X175">
        <f>IF(Merge1[[#This Row],[qc_status]]="PASS",1,0)</f>
        <v>1</v>
      </c>
      <c r="Y175" t="s">
        <v>348</v>
      </c>
    </row>
    <row r="176" spans="1:26" hidden="1" x14ac:dyDescent="0.35">
      <c r="A176" t="s">
        <v>349</v>
      </c>
      <c r="B176">
        <v>45188</v>
      </c>
      <c r="C176" t="s">
        <v>51</v>
      </c>
      <c r="D176" t="s">
        <v>1244</v>
      </c>
      <c r="E176" t="s">
        <v>1242</v>
      </c>
      <c r="F176" t="s">
        <v>37</v>
      </c>
      <c r="G176" t="s">
        <v>43</v>
      </c>
      <c r="H176" t="s">
        <v>26</v>
      </c>
      <c r="I176" t="s">
        <v>1260</v>
      </c>
      <c r="J176" t="s">
        <v>34</v>
      </c>
      <c r="K176">
        <v>962.8</v>
      </c>
      <c r="L176">
        <v>3708.4</v>
      </c>
      <c r="M176">
        <v>611.1</v>
      </c>
      <c r="N176">
        <v>623.79999999999995</v>
      </c>
      <c r="O176">
        <v>12.7</v>
      </c>
      <c r="P176">
        <v>2.0799999999999999E-2</v>
      </c>
      <c r="Q176">
        <v>10.3</v>
      </c>
      <c r="R176">
        <v>9</v>
      </c>
      <c r="S176">
        <v>69.5</v>
      </c>
      <c r="T176">
        <v>67.2</v>
      </c>
      <c r="U176">
        <v>0</v>
      </c>
      <c r="W176" t="s">
        <v>38</v>
      </c>
      <c r="X176">
        <f>IF(Merge1[[#This Row],[qc_status]]="PASS",1,0)</f>
        <v>0</v>
      </c>
      <c r="Y176" t="s">
        <v>350</v>
      </c>
      <c r="Z176" t="s">
        <v>61</v>
      </c>
    </row>
    <row r="177" spans="1:26" hidden="1" x14ac:dyDescent="0.35">
      <c r="A177" t="s">
        <v>351</v>
      </c>
      <c r="B177">
        <v>45188</v>
      </c>
      <c r="C177" t="s">
        <v>31</v>
      </c>
      <c r="D177" t="s">
        <v>1241</v>
      </c>
      <c r="E177" t="s">
        <v>1242</v>
      </c>
      <c r="F177" t="s">
        <v>92</v>
      </c>
      <c r="G177" t="s">
        <v>89</v>
      </c>
      <c r="H177" t="s">
        <v>33</v>
      </c>
      <c r="I177" t="s">
        <v>1258</v>
      </c>
      <c r="J177" t="s">
        <v>34</v>
      </c>
      <c r="K177">
        <v>652.20000000000005</v>
      </c>
      <c r="L177">
        <v>3438.5</v>
      </c>
      <c r="M177">
        <v>430.4</v>
      </c>
      <c r="N177">
        <v>423.8</v>
      </c>
      <c r="O177">
        <v>-6.6</v>
      </c>
      <c r="P177">
        <v>-1.5299999999999999E-2</v>
      </c>
      <c r="Q177">
        <v>4.7</v>
      </c>
      <c r="R177">
        <v>6.02</v>
      </c>
      <c r="S177">
        <v>64.400000000000006</v>
      </c>
      <c r="T177">
        <v>62.6</v>
      </c>
      <c r="U177">
        <v>5</v>
      </c>
      <c r="W177" t="s">
        <v>38</v>
      </c>
      <c r="X177">
        <f>IF(Merge1[[#This Row],[qc_status]]="PASS",1,0)</f>
        <v>0</v>
      </c>
      <c r="Y177" t="s">
        <v>352</v>
      </c>
      <c r="Z177" t="s">
        <v>40</v>
      </c>
    </row>
    <row r="178" spans="1:26" hidden="1" x14ac:dyDescent="0.35">
      <c r="A178" t="s">
        <v>353</v>
      </c>
      <c r="B178">
        <v>45191</v>
      </c>
      <c r="C178" t="s">
        <v>97</v>
      </c>
      <c r="D178" t="s">
        <v>1238</v>
      </c>
      <c r="E178" t="s">
        <v>1239</v>
      </c>
      <c r="F178" t="s">
        <v>75</v>
      </c>
      <c r="G178" t="s">
        <v>105</v>
      </c>
      <c r="H178" t="s">
        <v>55</v>
      </c>
      <c r="I178" t="s">
        <v>1253</v>
      </c>
      <c r="J178" t="s">
        <v>34</v>
      </c>
      <c r="K178">
        <v>784.4</v>
      </c>
      <c r="L178">
        <v>4141.2</v>
      </c>
      <c r="M178">
        <v>486.3</v>
      </c>
      <c r="N178">
        <v>496.2</v>
      </c>
      <c r="O178">
        <v>9.9</v>
      </c>
      <c r="P178">
        <v>2.0400000000000001E-2</v>
      </c>
      <c r="Q178">
        <v>16.100000000000001</v>
      </c>
      <c r="R178">
        <v>14.72</v>
      </c>
      <c r="S178">
        <v>67</v>
      </c>
      <c r="T178">
        <v>67.8</v>
      </c>
      <c r="U178">
        <v>0</v>
      </c>
      <c r="W178" t="s">
        <v>28</v>
      </c>
      <c r="X178">
        <f>IF(Merge1[[#This Row],[qc_status]]="PASS",1,0)</f>
        <v>1</v>
      </c>
      <c r="Y178" t="s">
        <v>354</v>
      </c>
    </row>
    <row r="179" spans="1:26" x14ac:dyDescent="0.35">
      <c r="A179" t="s">
        <v>355</v>
      </c>
      <c r="B179">
        <v>45194</v>
      </c>
      <c r="C179" t="s">
        <v>51</v>
      </c>
      <c r="D179" t="s">
        <v>1244</v>
      </c>
      <c r="E179" t="s">
        <v>1242</v>
      </c>
      <c r="F179" t="s">
        <v>54</v>
      </c>
      <c r="G179" t="s">
        <v>105</v>
      </c>
      <c r="H179" t="s">
        <v>59</v>
      </c>
      <c r="I179" t="s">
        <v>1257</v>
      </c>
      <c r="J179" t="s">
        <v>27</v>
      </c>
      <c r="K179">
        <v>1016.6</v>
      </c>
      <c r="L179">
        <v>4328.3999999999996</v>
      </c>
      <c r="M179">
        <v>581.20000000000005</v>
      </c>
      <c r="N179">
        <v>585.9</v>
      </c>
      <c r="O179">
        <v>4.7</v>
      </c>
      <c r="P179">
        <v>8.0999999999999996E-3</v>
      </c>
      <c r="Q179">
        <v>5.9</v>
      </c>
      <c r="R179">
        <v>7.41</v>
      </c>
      <c r="S179" s="60">
        <v>68.5</v>
      </c>
      <c r="T179" s="60">
        <v>69</v>
      </c>
      <c r="U179">
        <v>1</v>
      </c>
      <c r="V179" t="s">
        <v>239</v>
      </c>
      <c r="W179" t="s">
        <v>28</v>
      </c>
      <c r="X179">
        <f>IF(Merge1[[#This Row],[qc_status]]="PASS",1,0)</f>
        <v>1</v>
      </c>
      <c r="Y179" t="s">
        <v>356</v>
      </c>
    </row>
    <row r="180" spans="1:26" x14ac:dyDescent="0.35">
      <c r="A180" t="s">
        <v>357</v>
      </c>
      <c r="B180">
        <v>45194</v>
      </c>
      <c r="C180" t="s">
        <v>31</v>
      </c>
      <c r="D180" t="s">
        <v>1241</v>
      </c>
      <c r="E180" t="s">
        <v>1242</v>
      </c>
      <c r="F180" t="s">
        <v>37</v>
      </c>
      <c r="G180" t="s">
        <v>48</v>
      </c>
      <c r="H180" t="s">
        <v>33</v>
      </c>
      <c r="I180" t="s">
        <v>1258</v>
      </c>
      <c r="J180" t="s">
        <v>27</v>
      </c>
      <c r="K180">
        <v>1082.3</v>
      </c>
      <c r="L180">
        <v>5386</v>
      </c>
      <c r="M180">
        <v>682.2</v>
      </c>
      <c r="N180">
        <v>651.1</v>
      </c>
      <c r="O180">
        <v>-31.1</v>
      </c>
      <c r="P180">
        <v>-4.5600000000000002E-2</v>
      </c>
      <c r="Q180">
        <v>12.9</v>
      </c>
      <c r="R180">
        <v>12.86</v>
      </c>
      <c r="S180" s="60">
        <v>61.9</v>
      </c>
      <c r="T180" s="60">
        <v>60.7</v>
      </c>
      <c r="U180">
        <v>0.5</v>
      </c>
      <c r="W180" t="s">
        <v>28</v>
      </c>
      <c r="X180">
        <f>IF(Merge1[[#This Row],[qc_status]]="PASS",1,0)</f>
        <v>1</v>
      </c>
      <c r="Y180" t="s">
        <v>358</v>
      </c>
    </row>
    <row r="181" spans="1:26" x14ac:dyDescent="0.35">
      <c r="A181" t="s">
        <v>359</v>
      </c>
      <c r="B181">
        <v>45200</v>
      </c>
      <c r="C181" t="s">
        <v>31</v>
      </c>
      <c r="D181" t="s">
        <v>1241</v>
      </c>
      <c r="E181" t="s">
        <v>1242</v>
      </c>
      <c r="F181" t="s">
        <v>37</v>
      </c>
      <c r="G181" t="s">
        <v>48</v>
      </c>
      <c r="H181" t="s">
        <v>59</v>
      </c>
      <c r="I181" t="s">
        <v>1257</v>
      </c>
      <c r="J181" t="s">
        <v>27</v>
      </c>
      <c r="K181">
        <v>842.9</v>
      </c>
      <c r="L181">
        <v>4118.5</v>
      </c>
      <c r="M181">
        <v>574.4</v>
      </c>
      <c r="N181">
        <v>555.70000000000005</v>
      </c>
      <c r="O181">
        <v>-18.7</v>
      </c>
      <c r="P181">
        <v>-3.2599999999999997E-2</v>
      </c>
      <c r="Q181">
        <v>4.5</v>
      </c>
      <c r="R181">
        <v>6.05</v>
      </c>
      <c r="S181" s="60">
        <v>64.2</v>
      </c>
      <c r="T181" s="60">
        <v>64.900000000000006</v>
      </c>
      <c r="U181">
        <v>0</v>
      </c>
      <c r="W181" t="s">
        <v>28</v>
      </c>
      <c r="X181">
        <f>IF(Merge1[[#This Row],[qc_status]]="PASS",1,0)</f>
        <v>1</v>
      </c>
      <c r="Y181" t="s">
        <v>360</v>
      </c>
    </row>
    <row r="182" spans="1:26" hidden="1" x14ac:dyDescent="0.35">
      <c r="A182" t="s">
        <v>361</v>
      </c>
      <c r="B182">
        <v>45202</v>
      </c>
      <c r="C182" t="s">
        <v>97</v>
      </c>
      <c r="D182" t="s">
        <v>1238</v>
      </c>
      <c r="E182" t="s">
        <v>1239</v>
      </c>
      <c r="F182" t="s">
        <v>92</v>
      </c>
      <c r="G182" t="s">
        <v>105</v>
      </c>
      <c r="H182" t="s">
        <v>33</v>
      </c>
      <c r="I182" t="s">
        <v>1258</v>
      </c>
      <c r="J182" t="s">
        <v>34</v>
      </c>
      <c r="K182">
        <v>570.29999999999995</v>
      </c>
      <c r="L182">
        <v>2146</v>
      </c>
      <c r="M182">
        <v>319.5</v>
      </c>
      <c r="N182">
        <v>327.10000000000002</v>
      </c>
      <c r="O182">
        <v>7.6</v>
      </c>
      <c r="P182">
        <v>2.3800000000000002E-2</v>
      </c>
      <c r="Q182">
        <v>4.5</v>
      </c>
      <c r="R182">
        <v>3.8</v>
      </c>
      <c r="S182">
        <v>63.9</v>
      </c>
      <c r="T182">
        <v>61.6</v>
      </c>
      <c r="U182">
        <v>2</v>
      </c>
      <c r="V182" t="s">
        <v>45</v>
      </c>
      <c r="W182" t="s">
        <v>38</v>
      </c>
      <c r="X182">
        <f>IF(Merge1[[#This Row],[qc_status]]="PASS",1,0)</f>
        <v>0</v>
      </c>
      <c r="Y182" t="s">
        <v>362</v>
      </c>
      <c r="Z182" t="s">
        <v>61</v>
      </c>
    </row>
    <row r="183" spans="1:26" hidden="1" x14ac:dyDescent="0.35">
      <c r="A183" t="s">
        <v>363</v>
      </c>
      <c r="B183">
        <v>45203</v>
      </c>
      <c r="C183" t="s">
        <v>97</v>
      </c>
      <c r="D183" t="s">
        <v>1238</v>
      </c>
      <c r="E183" t="s">
        <v>1239</v>
      </c>
      <c r="F183" t="s">
        <v>92</v>
      </c>
      <c r="G183" t="s">
        <v>48</v>
      </c>
      <c r="H183" t="s">
        <v>44</v>
      </c>
      <c r="I183" t="s">
        <v>1255</v>
      </c>
      <c r="J183" t="s">
        <v>34</v>
      </c>
      <c r="K183">
        <v>978.8</v>
      </c>
      <c r="L183">
        <v>5223.8999999999996</v>
      </c>
      <c r="M183">
        <v>696.6</v>
      </c>
      <c r="N183">
        <v>687.9</v>
      </c>
      <c r="O183">
        <v>-8.6999999999999993</v>
      </c>
      <c r="P183">
        <v>-1.2500000000000001E-2</v>
      </c>
      <c r="Q183">
        <v>4.5999999999999996</v>
      </c>
      <c r="R183">
        <v>4.41</v>
      </c>
      <c r="S183">
        <v>67</v>
      </c>
      <c r="T183">
        <v>67.7</v>
      </c>
      <c r="U183">
        <v>0</v>
      </c>
      <c r="W183" t="s">
        <v>28</v>
      </c>
      <c r="X183">
        <f>IF(Merge1[[#This Row],[qc_status]]="PASS",1,0)</f>
        <v>1</v>
      </c>
      <c r="Y183" t="s">
        <v>364</v>
      </c>
    </row>
    <row r="184" spans="1:26" x14ac:dyDescent="0.35">
      <c r="A184" t="s">
        <v>365</v>
      </c>
      <c r="B184">
        <v>45207</v>
      </c>
      <c r="C184" t="s">
        <v>42</v>
      </c>
      <c r="D184" t="s">
        <v>1246</v>
      </c>
      <c r="E184" t="s">
        <v>1247</v>
      </c>
      <c r="F184" t="s">
        <v>37</v>
      </c>
      <c r="G184" t="s">
        <v>48</v>
      </c>
      <c r="H184" t="s">
        <v>44</v>
      </c>
      <c r="I184" t="s">
        <v>1255</v>
      </c>
      <c r="J184" t="s">
        <v>27</v>
      </c>
      <c r="K184">
        <v>729</v>
      </c>
      <c r="L184">
        <v>3356.9</v>
      </c>
      <c r="M184">
        <v>433.8</v>
      </c>
      <c r="N184">
        <v>433.5</v>
      </c>
      <c r="O184">
        <v>-0.3</v>
      </c>
      <c r="P184">
        <v>-6.9999999999999999E-4</v>
      </c>
      <c r="Q184">
        <v>15.7</v>
      </c>
      <c r="R184">
        <v>15.82</v>
      </c>
      <c r="S184" s="60">
        <v>69</v>
      </c>
      <c r="T184" s="60">
        <v>67.599999999999994</v>
      </c>
      <c r="U184">
        <v>3</v>
      </c>
      <c r="V184" t="s">
        <v>45</v>
      </c>
      <c r="W184" t="s">
        <v>38</v>
      </c>
      <c r="X184">
        <f>IF(Merge1[[#This Row],[qc_status]]="PASS",1,0)</f>
        <v>0</v>
      </c>
      <c r="Y184" t="s">
        <v>366</v>
      </c>
      <c r="Z184" t="s">
        <v>40</v>
      </c>
    </row>
    <row r="185" spans="1:26" x14ac:dyDescent="0.35">
      <c r="A185" t="s">
        <v>367</v>
      </c>
      <c r="B185">
        <v>45207</v>
      </c>
      <c r="C185" t="s">
        <v>51</v>
      </c>
      <c r="D185" t="s">
        <v>1244</v>
      </c>
      <c r="E185" t="s">
        <v>1242</v>
      </c>
      <c r="F185" t="s">
        <v>37</v>
      </c>
      <c r="G185" t="s">
        <v>89</v>
      </c>
      <c r="H185" t="s">
        <v>55</v>
      </c>
      <c r="I185" t="s">
        <v>1253</v>
      </c>
      <c r="J185" t="s">
        <v>27</v>
      </c>
      <c r="K185">
        <v>813.2</v>
      </c>
      <c r="L185">
        <v>3689.4</v>
      </c>
      <c r="M185">
        <v>530.79999999999995</v>
      </c>
      <c r="N185">
        <v>546.5</v>
      </c>
      <c r="O185">
        <v>15.7</v>
      </c>
      <c r="P185">
        <v>2.9600000000000001E-2</v>
      </c>
      <c r="Q185">
        <v>12.1</v>
      </c>
      <c r="R185">
        <v>15.46</v>
      </c>
      <c r="S185" s="60">
        <v>64.599999999999994</v>
      </c>
      <c r="T185" s="60">
        <v>66.400000000000006</v>
      </c>
      <c r="U185">
        <v>0</v>
      </c>
      <c r="W185" t="s">
        <v>28</v>
      </c>
      <c r="X185">
        <f>IF(Merge1[[#This Row],[qc_status]]="PASS",1,0)</f>
        <v>1</v>
      </c>
      <c r="Y185" t="s">
        <v>368</v>
      </c>
    </row>
    <row r="186" spans="1:26" hidden="1" x14ac:dyDescent="0.35">
      <c r="A186" t="s">
        <v>369</v>
      </c>
      <c r="B186">
        <v>45210</v>
      </c>
      <c r="C186" t="s">
        <v>51</v>
      </c>
      <c r="D186" t="s">
        <v>1244</v>
      </c>
      <c r="E186" t="s">
        <v>1242</v>
      </c>
      <c r="F186" t="s">
        <v>24</v>
      </c>
      <c r="G186" t="s">
        <v>105</v>
      </c>
      <c r="H186" t="s">
        <v>55</v>
      </c>
      <c r="I186" t="s">
        <v>1253</v>
      </c>
      <c r="J186" t="s">
        <v>34</v>
      </c>
      <c r="K186">
        <v>1030.0999999999999</v>
      </c>
      <c r="L186">
        <v>4267.3</v>
      </c>
      <c r="M186">
        <v>720.3</v>
      </c>
      <c r="N186">
        <v>713.8</v>
      </c>
      <c r="O186">
        <v>-6.5</v>
      </c>
      <c r="P186">
        <v>-8.9999999999999993E-3</v>
      </c>
      <c r="Q186">
        <v>14.1</v>
      </c>
      <c r="R186">
        <v>12.73</v>
      </c>
      <c r="S186">
        <v>66.400000000000006</v>
      </c>
      <c r="T186">
        <v>67.8</v>
      </c>
      <c r="U186">
        <v>2</v>
      </c>
      <c r="W186" t="s">
        <v>28</v>
      </c>
      <c r="X186">
        <f>IF(Merge1[[#This Row],[qc_status]]="PASS",1,0)</f>
        <v>1</v>
      </c>
      <c r="Y186" t="s">
        <v>370</v>
      </c>
    </row>
    <row r="187" spans="1:26" hidden="1" x14ac:dyDescent="0.35">
      <c r="A187" t="s">
        <v>371</v>
      </c>
      <c r="B187">
        <v>45212</v>
      </c>
      <c r="C187" t="s">
        <v>97</v>
      </c>
      <c r="D187" t="s">
        <v>1238</v>
      </c>
      <c r="E187" t="s">
        <v>1239</v>
      </c>
      <c r="F187" t="s">
        <v>75</v>
      </c>
      <c r="G187" t="s">
        <v>48</v>
      </c>
      <c r="H187" t="s">
        <v>33</v>
      </c>
      <c r="I187" t="s">
        <v>1258</v>
      </c>
      <c r="J187" t="s">
        <v>34</v>
      </c>
      <c r="K187">
        <v>1090.9000000000001</v>
      </c>
      <c r="L187">
        <v>5440.4</v>
      </c>
      <c r="M187">
        <v>620.9</v>
      </c>
      <c r="N187">
        <v>620</v>
      </c>
      <c r="O187">
        <v>-0.9</v>
      </c>
      <c r="P187">
        <v>-1.4E-3</v>
      </c>
      <c r="Q187">
        <v>8.6999999999999993</v>
      </c>
      <c r="R187">
        <v>11.46</v>
      </c>
      <c r="S187">
        <v>67.3</v>
      </c>
      <c r="T187">
        <v>66.7</v>
      </c>
      <c r="U187">
        <v>1</v>
      </c>
      <c r="V187" t="s">
        <v>239</v>
      </c>
      <c r="W187" t="s">
        <v>28</v>
      </c>
      <c r="X187">
        <f>IF(Merge1[[#This Row],[qc_status]]="PASS",1,0)</f>
        <v>1</v>
      </c>
      <c r="Y187" t="s">
        <v>372</v>
      </c>
    </row>
    <row r="188" spans="1:26" hidden="1" x14ac:dyDescent="0.35">
      <c r="A188" t="s">
        <v>373</v>
      </c>
      <c r="B188">
        <v>45213</v>
      </c>
      <c r="C188" t="s">
        <v>42</v>
      </c>
      <c r="D188" t="s">
        <v>1246</v>
      </c>
      <c r="E188" t="s">
        <v>1247</v>
      </c>
      <c r="F188" t="s">
        <v>37</v>
      </c>
      <c r="G188" t="s">
        <v>89</v>
      </c>
      <c r="H188" t="s">
        <v>26</v>
      </c>
      <c r="I188" t="s">
        <v>1260</v>
      </c>
      <c r="J188" t="s">
        <v>34</v>
      </c>
      <c r="K188">
        <v>560.20000000000005</v>
      </c>
      <c r="L188">
        <v>1983.8</v>
      </c>
      <c r="M188">
        <v>318.10000000000002</v>
      </c>
      <c r="N188">
        <v>321</v>
      </c>
      <c r="O188">
        <v>2.9</v>
      </c>
      <c r="P188">
        <v>9.1000000000000004E-3</v>
      </c>
      <c r="Q188">
        <v>17.5</v>
      </c>
      <c r="R188">
        <v>18.38</v>
      </c>
      <c r="S188">
        <v>63.7</v>
      </c>
      <c r="T188">
        <v>64</v>
      </c>
      <c r="U188">
        <v>5</v>
      </c>
      <c r="W188" t="s">
        <v>38</v>
      </c>
      <c r="X188">
        <f>IF(Merge1[[#This Row],[qc_status]]="PASS",1,0)</f>
        <v>0</v>
      </c>
      <c r="Y188" t="s">
        <v>374</v>
      </c>
      <c r="Z188" t="s">
        <v>40</v>
      </c>
    </row>
    <row r="189" spans="1:26" x14ac:dyDescent="0.35">
      <c r="A189" t="s">
        <v>375</v>
      </c>
      <c r="B189">
        <v>45213</v>
      </c>
      <c r="C189" t="s">
        <v>97</v>
      </c>
      <c r="D189" t="s">
        <v>1238</v>
      </c>
      <c r="E189" t="s">
        <v>1239</v>
      </c>
      <c r="F189" t="s">
        <v>54</v>
      </c>
      <c r="G189" t="s">
        <v>89</v>
      </c>
      <c r="H189" t="s">
        <v>26</v>
      </c>
      <c r="I189" t="s">
        <v>1260</v>
      </c>
      <c r="J189" t="s">
        <v>27</v>
      </c>
      <c r="K189">
        <v>994.7</v>
      </c>
      <c r="L189">
        <v>3707.4</v>
      </c>
      <c r="M189">
        <v>568.29999999999995</v>
      </c>
      <c r="N189">
        <v>549.70000000000005</v>
      </c>
      <c r="O189">
        <v>-18.600000000000001</v>
      </c>
      <c r="P189">
        <v>-3.27E-2</v>
      </c>
      <c r="Q189">
        <v>4.5</v>
      </c>
      <c r="R189">
        <v>4.9800000000000004</v>
      </c>
      <c r="S189" s="60">
        <v>63.8</v>
      </c>
      <c r="T189" s="60">
        <v>63.1</v>
      </c>
      <c r="U189">
        <v>5</v>
      </c>
      <c r="V189" t="s">
        <v>70</v>
      </c>
      <c r="W189" t="s">
        <v>28</v>
      </c>
      <c r="X189">
        <f>IF(Merge1[[#This Row],[qc_status]]="PASS",1,0)</f>
        <v>1</v>
      </c>
      <c r="Y189" t="s">
        <v>376</v>
      </c>
      <c r="Z189" t="s">
        <v>40</v>
      </c>
    </row>
    <row r="190" spans="1:26" hidden="1" x14ac:dyDescent="0.35">
      <c r="A190" t="s">
        <v>377</v>
      </c>
      <c r="B190">
        <v>45213</v>
      </c>
      <c r="C190" t="s">
        <v>31</v>
      </c>
      <c r="D190" t="s">
        <v>1241</v>
      </c>
      <c r="E190" t="s">
        <v>1242</v>
      </c>
      <c r="F190" t="s">
        <v>37</v>
      </c>
      <c r="G190" t="s">
        <v>32</v>
      </c>
      <c r="H190" t="s">
        <v>26</v>
      </c>
      <c r="I190" t="s">
        <v>1260</v>
      </c>
      <c r="J190" t="s">
        <v>34</v>
      </c>
      <c r="K190">
        <v>985.9</v>
      </c>
      <c r="L190">
        <v>4335.2</v>
      </c>
      <c r="M190">
        <v>666.8</v>
      </c>
      <c r="N190">
        <v>642.29999999999995</v>
      </c>
      <c r="O190">
        <v>-24.5</v>
      </c>
      <c r="P190">
        <v>-3.6700000000000003E-2</v>
      </c>
      <c r="Q190">
        <v>7.5</v>
      </c>
      <c r="R190">
        <v>7.68</v>
      </c>
      <c r="S190">
        <v>63.8</v>
      </c>
      <c r="T190">
        <v>61.7</v>
      </c>
      <c r="U190">
        <v>1</v>
      </c>
      <c r="V190" t="s">
        <v>86</v>
      </c>
      <c r="W190" t="s">
        <v>28</v>
      </c>
      <c r="X190">
        <f>IF(Merge1[[#This Row],[qc_status]]="PASS",1,0)</f>
        <v>1</v>
      </c>
      <c r="Y190" t="s">
        <v>378</v>
      </c>
      <c r="Z190" t="s">
        <v>61</v>
      </c>
    </row>
    <row r="191" spans="1:26" hidden="1" x14ac:dyDescent="0.35">
      <c r="A191" t="s">
        <v>379</v>
      </c>
      <c r="B191">
        <v>45215</v>
      </c>
      <c r="C191" t="s">
        <v>23</v>
      </c>
      <c r="D191" t="s">
        <v>1235</v>
      </c>
      <c r="E191" t="s">
        <v>1236</v>
      </c>
      <c r="F191" t="s">
        <v>75</v>
      </c>
      <c r="G191" t="s">
        <v>32</v>
      </c>
      <c r="H191" t="s">
        <v>44</v>
      </c>
      <c r="I191" t="s">
        <v>1255</v>
      </c>
      <c r="J191" t="s">
        <v>34</v>
      </c>
      <c r="K191">
        <v>1106.5999999999999</v>
      </c>
      <c r="L191">
        <v>5328.7</v>
      </c>
      <c r="M191">
        <v>717.5</v>
      </c>
      <c r="N191">
        <v>657.2</v>
      </c>
      <c r="O191">
        <v>-60.3</v>
      </c>
      <c r="P191">
        <v>-8.4000000000000005E-2</v>
      </c>
      <c r="Q191">
        <v>7.1</v>
      </c>
      <c r="R191">
        <v>8.52</v>
      </c>
      <c r="S191">
        <v>69.900000000000006</v>
      </c>
      <c r="T191">
        <v>67.5</v>
      </c>
      <c r="U191">
        <v>0</v>
      </c>
      <c r="W191" t="s">
        <v>38</v>
      </c>
      <c r="X191">
        <f>IF(Merge1[[#This Row],[qc_status]]="PASS",1,0)</f>
        <v>0</v>
      </c>
      <c r="Y191" t="s">
        <v>380</v>
      </c>
      <c r="Z191" t="s">
        <v>66</v>
      </c>
    </row>
    <row r="192" spans="1:26" hidden="1" x14ac:dyDescent="0.35">
      <c r="A192" t="s">
        <v>379</v>
      </c>
      <c r="B192">
        <v>45215</v>
      </c>
      <c r="C192" t="s">
        <v>23</v>
      </c>
      <c r="D192" t="s">
        <v>1235</v>
      </c>
      <c r="E192" t="s">
        <v>1236</v>
      </c>
      <c r="F192" t="s">
        <v>75</v>
      </c>
      <c r="G192" t="s">
        <v>32</v>
      </c>
      <c r="H192" t="s">
        <v>44</v>
      </c>
      <c r="I192" t="s">
        <v>1255</v>
      </c>
      <c r="J192" t="s">
        <v>34</v>
      </c>
      <c r="K192">
        <v>1106.5999999999999</v>
      </c>
      <c r="L192">
        <v>5328.7</v>
      </c>
      <c r="M192">
        <v>717.5</v>
      </c>
      <c r="N192">
        <v>657.2</v>
      </c>
      <c r="O192">
        <v>-60.3</v>
      </c>
      <c r="P192">
        <v>-8.4000000000000005E-2</v>
      </c>
      <c r="Q192">
        <v>7.1</v>
      </c>
      <c r="R192">
        <v>8.52</v>
      </c>
      <c r="S192">
        <v>69.900000000000006</v>
      </c>
      <c r="T192">
        <v>67.5</v>
      </c>
      <c r="U192">
        <v>0</v>
      </c>
      <c r="W192" t="s">
        <v>38</v>
      </c>
      <c r="X192">
        <f>IF(Merge1[[#This Row],[qc_status]]="PASS",1,0)</f>
        <v>0</v>
      </c>
      <c r="Y192" t="s">
        <v>380</v>
      </c>
      <c r="Z192" t="s">
        <v>66</v>
      </c>
    </row>
    <row r="193" spans="1:26" hidden="1" x14ac:dyDescent="0.35">
      <c r="A193" t="s">
        <v>381</v>
      </c>
      <c r="B193">
        <v>45216</v>
      </c>
      <c r="C193" t="s">
        <v>51</v>
      </c>
      <c r="D193" t="s">
        <v>1244</v>
      </c>
      <c r="E193" t="s">
        <v>1242</v>
      </c>
      <c r="F193" t="s">
        <v>24</v>
      </c>
      <c r="G193" t="s">
        <v>48</v>
      </c>
      <c r="H193" t="s">
        <v>44</v>
      </c>
      <c r="I193" t="s">
        <v>1255</v>
      </c>
      <c r="J193" t="s">
        <v>34</v>
      </c>
      <c r="K193">
        <v>1055.0999999999999</v>
      </c>
      <c r="L193">
        <v>4668.3</v>
      </c>
      <c r="M193">
        <v>626.1</v>
      </c>
      <c r="N193">
        <v>646.70000000000005</v>
      </c>
      <c r="O193">
        <v>20.6</v>
      </c>
      <c r="P193">
        <v>3.2899999999999999E-2</v>
      </c>
      <c r="Q193">
        <v>6.9</v>
      </c>
      <c r="R193">
        <v>5.88</v>
      </c>
      <c r="S193">
        <v>63.8</v>
      </c>
      <c r="T193">
        <v>64</v>
      </c>
      <c r="U193">
        <v>5</v>
      </c>
      <c r="W193" t="s">
        <v>28</v>
      </c>
      <c r="X193">
        <f>IF(Merge1[[#This Row],[qc_status]]="PASS",1,0)</f>
        <v>1</v>
      </c>
      <c r="Y193" t="s">
        <v>382</v>
      </c>
      <c r="Z193" t="s">
        <v>40</v>
      </c>
    </row>
    <row r="194" spans="1:26" x14ac:dyDescent="0.35">
      <c r="A194" t="s">
        <v>383</v>
      </c>
      <c r="B194">
        <v>45217</v>
      </c>
      <c r="C194" t="s">
        <v>51</v>
      </c>
      <c r="D194" t="s">
        <v>1244</v>
      </c>
      <c r="E194" t="s">
        <v>1242</v>
      </c>
      <c r="F194" t="s">
        <v>37</v>
      </c>
      <c r="G194" t="s">
        <v>105</v>
      </c>
      <c r="H194" t="s">
        <v>44</v>
      </c>
      <c r="I194" t="s">
        <v>1255</v>
      </c>
      <c r="J194" t="s">
        <v>27</v>
      </c>
      <c r="K194">
        <v>1019.2</v>
      </c>
      <c r="L194">
        <v>4327.8</v>
      </c>
      <c r="M194">
        <v>614.9</v>
      </c>
      <c r="N194">
        <v>545.9</v>
      </c>
      <c r="O194">
        <v>-69</v>
      </c>
      <c r="P194">
        <v>-0.11219999999999999</v>
      </c>
      <c r="Q194">
        <v>8.1999999999999993</v>
      </c>
      <c r="R194">
        <v>7.34</v>
      </c>
      <c r="S194" s="60">
        <v>69.400000000000006</v>
      </c>
      <c r="T194" s="60">
        <v>71.3</v>
      </c>
      <c r="U194">
        <v>1</v>
      </c>
      <c r="V194" t="s">
        <v>100</v>
      </c>
      <c r="W194" t="s">
        <v>38</v>
      </c>
      <c r="X194">
        <f>IF(Merge1[[#This Row],[qc_status]]="PASS",1,0)</f>
        <v>0</v>
      </c>
      <c r="Y194" t="s">
        <v>384</v>
      </c>
      <c r="Z194" t="s">
        <v>66</v>
      </c>
    </row>
    <row r="195" spans="1:26" hidden="1" x14ac:dyDescent="0.35">
      <c r="A195" t="s">
        <v>385</v>
      </c>
      <c r="B195">
        <v>45217</v>
      </c>
      <c r="C195" t="s">
        <v>42</v>
      </c>
      <c r="D195" t="s">
        <v>1246</v>
      </c>
      <c r="E195" t="s">
        <v>1247</v>
      </c>
      <c r="F195" t="s">
        <v>75</v>
      </c>
      <c r="G195" t="s">
        <v>89</v>
      </c>
      <c r="H195" t="s">
        <v>33</v>
      </c>
      <c r="I195" t="s">
        <v>1258</v>
      </c>
      <c r="J195" t="s">
        <v>34</v>
      </c>
      <c r="K195">
        <v>563.70000000000005</v>
      </c>
      <c r="L195">
        <v>2243.8000000000002</v>
      </c>
      <c r="M195">
        <v>350.7</v>
      </c>
      <c r="N195">
        <v>325.3</v>
      </c>
      <c r="O195">
        <v>-25.4</v>
      </c>
      <c r="P195">
        <v>-7.2400000000000006E-2</v>
      </c>
      <c r="Q195">
        <v>5</v>
      </c>
      <c r="R195">
        <v>6.05</v>
      </c>
      <c r="S195">
        <v>66.3</v>
      </c>
      <c r="T195">
        <v>65.900000000000006</v>
      </c>
      <c r="U195">
        <v>0</v>
      </c>
      <c r="W195" t="s">
        <v>38</v>
      </c>
      <c r="X195">
        <f>IF(Merge1[[#This Row],[qc_status]]="PASS",1,0)</f>
        <v>0</v>
      </c>
      <c r="Y195" t="s">
        <v>386</v>
      </c>
    </row>
    <row r="196" spans="1:26" hidden="1" x14ac:dyDescent="0.35">
      <c r="A196" t="s">
        <v>387</v>
      </c>
      <c r="B196">
        <v>45221</v>
      </c>
      <c r="C196" t="s">
        <v>31</v>
      </c>
      <c r="D196" t="s">
        <v>1241</v>
      </c>
      <c r="E196" t="s">
        <v>1242</v>
      </c>
      <c r="F196" t="s">
        <v>37</v>
      </c>
      <c r="G196" t="s">
        <v>43</v>
      </c>
      <c r="H196" t="s">
        <v>33</v>
      </c>
      <c r="I196" t="s">
        <v>1258</v>
      </c>
      <c r="J196" t="s">
        <v>34</v>
      </c>
      <c r="K196">
        <v>542</v>
      </c>
      <c r="L196">
        <v>2172.4</v>
      </c>
      <c r="M196">
        <v>375.6</v>
      </c>
      <c r="N196">
        <v>375.8</v>
      </c>
      <c r="O196">
        <v>0.2</v>
      </c>
      <c r="P196">
        <v>5.0000000000000001E-4</v>
      </c>
      <c r="Q196">
        <v>17.899999999999999</v>
      </c>
      <c r="R196">
        <v>24.61</v>
      </c>
      <c r="S196">
        <v>63</v>
      </c>
      <c r="T196">
        <v>60.5</v>
      </c>
      <c r="U196">
        <v>0</v>
      </c>
      <c r="W196" t="s">
        <v>28</v>
      </c>
      <c r="X196">
        <f>IF(Merge1[[#This Row],[qc_status]]="PASS",1,0)</f>
        <v>1</v>
      </c>
      <c r="Y196" t="s">
        <v>388</v>
      </c>
      <c r="Z196" t="s">
        <v>61</v>
      </c>
    </row>
    <row r="197" spans="1:26" x14ac:dyDescent="0.35">
      <c r="A197" t="s">
        <v>389</v>
      </c>
      <c r="B197">
        <v>45222</v>
      </c>
      <c r="C197" t="s">
        <v>42</v>
      </c>
      <c r="D197" t="s">
        <v>1246</v>
      </c>
      <c r="E197" t="s">
        <v>1247</v>
      </c>
      <c r="F197" t="s">
        <v>54</v>
      </c>
      <c r="G197" t="s">
        <v>43</v>
      </c>
      <c r="H197" t="s">
        <v>59</v>
      </c>
      <c r="I197" t="s">
        <v>1257</v>
      </c>
      <c r="J197" t="s">
        <v>27</v>
      </c>
      <c r="K197">
        <v>527.4</v>
      </c>
      <c r="L197">
        <v>2256.5</v>
      </c>
      <c r="M197">
        <v>352.5</v>
      </c>
      <c r="N197">
        <v>348.9</v>
      </c>
      <c r="O197">
        <v>-3.6</v>
      </c>
      <c r="P197">
        <v>-1.0200000000000001E-2</v>
      </c>
      <c r="Q197">
        <v>4.8</v>
      </c>
      <c r="R197">
        <v>6.6</v>
      </c>
      <c r="S197" s="60">
        <v>63.5</v>
      </c>
      <c r="T197" s="60">
        <v>61.7</v>
      </c>
      <c r="U197">
        <v>0</v>
      </c>
      <c r="W197" t="s">
        <v>38</v>
      </c>
      <c r="X197">
        <f>IF(Merge1[[#This Row],[qc_status]]="PASS",1,0)</f>
        <v>0</v>
      </c>
      <c r="Y197" t="s">
        <v>390</v>
      </c>
    </row>
    <row r="198" spans="1:26" hidden="1" x14ac:dyDescent="0.35">
      <c r="A198" t="s">
        <v>391</v>
      </c>
      <c r="B198">
        <v>45223</v>
      </c>
      <c r="C198" t="s">
        <v>42</v>
      </c>
      <c r="D198" t="s">
        <v>1246</v>
      </c>
      <c r="E198" t="s">
        <v>1247</v>
      </c>
      <c r="F198" t="s">
        <v>37</v>
      </c>
      <c r="G198" t="s">
        <v>48</v>
      </c>
      <c r="H198" t="s">
        <v>44</v>
      </c>
      <c r="I198" t="s">
        <v>1255</v>
      </c>
      <c r="J198" t="s">
        <v>34</v>
      </c>
      <c r="K198">
        <v>659.1</v>
      </c>
      <c r="L198">
        <v>3216.1</v>
      </c>
      <c r="M198">
        <v>365.3</v>
      </c>
      <c r="N198">
        <v>390.7</v>
      </c>
      <c r="O198">
        <v>25.4</v>
      </c>
      <c r="P198">
        <v>6.9500000000000006E-2</v>
      </c>
      <c r="Q198">
        <v>14.5</v>
      </c>
      <c r="R198">
        <v>17.739999999999998</v>
      </c>
      <c r="S198">
        <v>69</v>
      </c>
      <c r="T198">
        <v>67.5</v>
      </c>
      <c r="U198">
        <v>0</v>
      </c>
      <c r="W198" t="s">
        <v>28</v>
      </c>
      <c r="X198">
        <f>IF(Merge1[[#This Row],[qc_status]]="PASS",1,0)</f>
        <v>1</v>
      </c>
      <c r="Y198" t="s">
        <v>392</v>
      </c>
    </row>
    <row r="199" spans="1:26" x14ac:dyDescent="0.35">
      <c r="A199" t="s">
        <v>393</v>
      </c>
      <c r="B199">
        <v>45223</v>
      </c>
      <c r="C199" t="s">
        <v>42</v>
      </c>
      <c r="D199" t="s">
        <v>1246</v>
      </c>
      <c r="E199" t="s">
        <v>1247</v>
      </c>
      <c r="F199" t="s">
        <v>92</v>
      </c>
      <c r="G199" t="s">
        <v>105</v>
      </c>
      <c r="H199" t="s">
        <v>44</v>
      </c>
      <c r="I199" t="s">
        <v>1255</v>
      </c>
      <c r="J199" t="s">
        <v>27</v>
      </c>
      <c r="K199">
        <v>798.9</v>
      </c>
      <c r="L199">
        <v>3041.6</v>
      </c>
      <c r="M199">
        <v>461.6</v>
      </c>
      <c r="N199">
        <v>460</v>
      </c>
      <c r="O199">
        <v>-1.6</v>
      </c>
      <c r="P199">
        <v>-3.5000000000000001E-3</v>
      </c>
      <c r="Q199">
        <v>10.6</v>
      </c>
      <c r="R199">
        <v>9.18</v>
      </c>
      <c r="S199" s="60">
        <v>70</v>
      </c>
      <c r="T199" s="60">
        <v>70.5</v>
      </c>
      <c r="U199">
        <v>5</v>
      </c>
      <c r="W199" t="s">
        <v>28</v>
      </c>
      <c r="X199">
        <f>IF(Merge1[[#This Row],[qc_status]]="PASS",1,0)</f>
        <v>1</v>
      </c>
      <c r="Y199" t="s">
        <v>394</v>
      </c>
      <c r="Z199" t="s">
        <v>40</v>
      </c>
    </row>
    <row r="200" spans="1:26" x14ac:dyDescent="0.35">
      <c r="A200" t="s">
        <v>395</v>
      </c>
      <c r="B200">
        <v>45224</v>
      </c>
      <c r="C200" t="s">
        <v>42</v>
      </c>
      <c r="D200" t="s">
        <v>1246</v>
      </c>
      <c r="E200" t="s">
        <v>1247</v>
      </c>
      <c r="F200" t="s">
        <v>75</v>
      </c>
      <c r="G200" t="s">
        <v>48</v>
      </c>
      <c r="H200" t="s">
        <v>33</v>
      </c>
      <c r="I200" t="s">
        <v>1258</v>
      </c>
      <c r="J200" t="s">
        <v>27</v>
      </c>
      <c r="K200">
        <v>1167.5</v>
      </c>
      <c r="L200">
        <v>5762.6</v>
      </c>
      <c r="M200">
        <v>675.5</v>
      </c>
      <c r="N200">
        <v>598.1</v>
      </c>
      <c r="O200">
        <v>-77.400000000000006</v>
      </c>
      <c r="P200">
        <v>-0.11459999999999999</v>
      </c>
      <c r="Q200">
        <v>8.4</v>
      </c>
      <c r="R200">
        <v>10.42</v>
      </c>
      <c r="S200" s="60">
        <v>62.7</v>
      </c>
      <c r="T200" s="60">
        <v>64.5</v>
      </c>
      <c r="U200">
        <v>2</v>
      </c>
      <c r="W200" t="s">
        <v>38</v>
      </c>
      <c r="X200">
        <f>IF(Merge1[[#This Row],[qc_status]]="PASS",1,0)</f>
        <v>0</v>
      </c>
      <c r="Y200" t="s">
        <v>396</v>
      </c>
      <c r="Z200" t="s">
        <v>66</v>
      </c>
    </row>
    <row r="201" spans="1:26" hidden="1" x14ac:dyDescent="0.35">
      <c r="A201" t="s">
        <v>397</v>
      </c>
      <c r="B201">
        <v>45224</v>
      </c>
      <c r="C201" t="s">
        <v>31</v>
      </c>
      <c r="D201" t="s">
        <v>1241</v>
      </c>
      <c r="E201" t="s">
        <v>1242</v>
      </c>
      <c r="F201" t="s">
        <v>92</v>
      </c>
      <c r="G201" t="s">
        <v>89</v>
      </c>
      <c r="H201" t="s">
        <v>44</v>
      </c>
      <c r="I201" t="s">
        <v>1255</v>
      </c>
      <c r="J201" t="s">
        <v>34</v>
      </c>
      <c r="K201">
        <v>867.6</v>
      </c>
      <c r="L201">
        <v>3527.1</v>
      </c>
      <c r="M201">
        <v>599.5</v>
      </c>
      <c r="N201">
        <v>571.29999999999995</v>
      </c>
      <c r="O201">
        <v>-28.2</v>
      </c>
      <c r="P201">
        <v>-4.7E-2</v>
      </c>
      <c r="Q201">
        <v>7.1</v>
      </c>
      <c r="R201">
        <v>5.83</v>
      </c>
      <c r="S201">
        <v>68.8</v>
      </c>
      <c r="T201">
        <v>69.099999999999994</v>
      </c>
      <c r="U201">
        <v>0</v>
      </c>
      <c r="W201" t="s">
        <v>28</v>
      </c>
      <c r="X201">
        <f>IF(Merge1[[#This Row],[qc_status]]="PASS",1,0)</f>
        <v>1</v>
      </c>
      <c r="Y201" t="s">
        <v>398</v>
      </c>
    </row>
    <row r="202" spans="1:26" x14ac:dyDescent="0.35">
      <c r="A202" t="s">
        <v>399</v>
      </c>
      <c r="B202">
        <v>45226</v>
      </c>
      <c r="C202" t="s">
        <v>97</v>
      </c>
      <c r="D202" t="s">
        <v>1238</v>
      </c>
      <c r="E202" t="s">
        <v>1239</v>
      </c>
      <c r="F202" t="s">
        <v>54</v>
      </c>
      <c r="G202" t="s">
        <v>89</v>
      </c>
      <c r="H202" t="s">
        <v>55</v>
      </c>
      <c r="I202" t="s">
        <v>1253</v>
      </c>
      <c r="J202" t="s">
        <v>27</v>
      </c>
      <c r="K202">
        <v>718.3</v>
      </c>
      <c r="L202">
        <v>3578.5</v>
      </c>
      <c r="M202">
        <v>405.1</v>
      </c>
      <c r="N202">
        <v>407.8</v>
      </c>
      <c r="O202">
        <v>2.7</v>
      </c>
      <c r="P202">
        <v>6.7000000000000002E-3</v>
      </c>
      <c r="Q202">
        <v>6</v>
      </c>
      <c r="R202">
        <v>5.62</v>
      </c>
      <c r="S202" s="60">
        <v>67.5</v>
      </c>
      <c r="T202" s="60">
        <v>69.099999999999994</v>
      </c>
      <c r="U202">
        <v>0</v>
      </c>
      <c r="W202" t="s">
        <v>38</v>
      </c>
      <c r="X202">
        <f>IF(Merge1[[#This Row],[qc_status]]="PASS",1,0)</f>
        <v>0</v>
      </c>
      <c r="Y202" t="s">
        <v>400</v>
      </c>
    </row>
    <row r="203" spans="1:26" x14ac:dyDescent="0.35">
      <c r="A203" t="s">
        <v>401</v>
      </c>
      <c r="B203">
        <v>45233</v>
      </c>
      <c r="C203" t="s">
        <v>23</v>
      </c>
      <c r="D203" t="s">
        <v>1235</v>
      </c>
      <c r="E203" t="s">
        <v>1236</v>
      </c>
      <c r="F203" t="s">
        <v>75</v>
      </c>
      <c r="G203" t="s">
        <v>89</v>
      </c>
      <c r="H203" t="s">
        <v>44</v>
      </c>
      <c r="I203" t="s">
        <v>1255</v>
      </c>
      <c r="J203" t="s">
        <v>27</v>
      </c>
      <c r="K203">
        <v>812.2</v>
      </c>
      <c r="L203">
        <v>3356.3</v>
      </c>
      <c r="M203">
        <v>536.70000000000005</v>
      </c>
      <c r="N203">
        <v>528.9</v>
      </c>
      <c r="O203">
        <v>-7.8</v>
      </c>
      <c r="P203">
        <v>-1.4500000000000001E-2</v>
      </c>
      <c r="Q203">
        <v>16</v>
      </c>
      <c r="R203">
        <v>16.8</v>
      </c>
      <c r="S203" s="60">
        <v>62.1</v>
      </c>
      <c r="T203" s="60">
        <v>59.8</v>
      </c>
      <c r="U203">
        <v>0.5</v>
      </c>
      <c r="V203" t="s">
        <v>45</v>
      </c>
      <c r="W203" t="s">
        <v>28</v>
      </c>
      <c r="X203">
        <f>IF(Merge1[[#This Row],[qc_status]]="PASS",1,0)</f>
        <v>1</v>
      </c>
      <c r="Y203" t="s">
        <v>402</v>
      </c>
      <c r="Z203" t="s">
        <v>61</v>
      </c>
    </row>
    <row r="204" spans="1:26" x14ac:dyDescent="0.35">
      <c r="A204" t="s">
        <v>401</v>
      </c>
      <c r="B204">
        <v>45233</v>
      </c>
      <c r="C204" t="s">
        <v>23</v>
      </c>
      <c r="D204" t="s">
        <v>1235</v>
      </c>
      <c r="E204" t="s">
        <v>1236</v>
      </c>
      <c r="F204" t="s">
        <v>75</v>
      </c>
      <c r="G204" t="s">
        <v>89</v>
      </c>
      <c r="H204" t="s">
        <v>44</v>
      </c>
      <c r="I204" t="s">
        <v>1255</v>
      </c>
      <c r="J204" t="s">
        <v>27</v>
      </c>
      <c r="K204">
        <v>812.2</v>
      </c>
      <c r="L204">
        <v>3356.3</v>
      </c>
      <c r="M204">
        <v>536.70000000000005</v>
      </c>
      <c r="N204">
        <v>528.9</v>
      </c>
      <c r="O204">
        <v>-7.8</v>
      </c>
      <c r="P204">
        <v>-1.4500000000000001E-2</v>
      </c>
      <c r="Q204">
        <v>16</v>
      </c>
      <c r="R204">
        <v>16.8</v>
      </c>
      <c r="S204" s="60">
        <v>62.1</v>
      </c>
      <c r="T204" s="60">
        <v>59.8</v>
      </c>
      <c r="U204">
        <v>0.5</v>
      </c>
      <c r="V204" t="s">
        <v>45</v>
      </c>
      <c r="W204" t="s">
        <v>28</v>
      </c>
      <c r="X204">
        <f>IF(Merge1[[#This Row],[qc_status]]="PASS",1,0)</f>
        <v>1</v>
      </c>
      <c r="Y204" t="s">
        <v>402</v>
      </c>
      <c r="Z204" t="s">
        <v>61</v>
      </c>
    </row>
    <row r="205" spans="1:26" x14ac:dyDescent="0.35">
      <c r="A205" t="s">
        <v>403</v>
      </c>
      <c r="B205">
        <v>45238</v>
      </c>
      <c r="C205" t="s">
        <v>23</v>
      </c>
      <c r="D205" t="s">
        <v>1235</v>
      </c>
      <c r="E205" t="s">
        <v>1236</v>
      </c>
      <c r="F205" t="s">
        <v>24</v>
      </c>
      <c r="G205" t="s">
        <v>48</v>
      </c>
      <c r="H205" t="s">
        <v>55</v>
      </c>
      <c r="I205" t="s">
        <v>1253</v>
      </c>
      <c r="J205" t="s">
        <v>27</v>
      </c>
      <c r="K205">
        <v>949.2</v>
      </c>
      <c r="L205">
        <v>4403.5</v>
      </c>
      <c r="M205">
        <v>659</v>
      </c>
      <c r="N205">
        <v>695.2</v>
      </c>
      <c r="O205">
        <v>36.200000000000003</v>
      </c>
      <c r="P205">
        <v>5.4899999999999997E-2</v>
      </c>
      <c r="Q205">
        <v>5.9</v>
      </c>
      <c r="R205">
        <v>6.75</v>
      </c>
      <c r="S205" s="60">
        <v>67</v>
      </c>
      <c r="T205" s="60">
        <v>65.2</v>
      </c>
      <c r="U205">
        <v>0</v>
      </c>
      <c r="W205" t="s">
        <v>38</v>
      </c>
      <c r="X205">
        <f>IF(Merge1[[#This Row],[qc_status]]="PASS",1,0)</f>
        <v>0</v>
      </c>
      <c r="Y205" t="s">
        <v>404</v>
      </c>
    </row>
    <row r="206" spans="1:26" x14ac:dyDescent="0.35">
      <c r="A206" t="s">
        <v>403</v>
      </c>
      <c r="B206">
        <v>45238</v>
      </c>
      <c r="C206" t="s">
        <v>23</v>
      </c>
      <c r="D206" t="s">
        <v>1235</v>
      </c>
      <c r="E206" t="s">
        <v>1236</v>
      </c>
      <c r="F206" t="s">
        <v>24</v>
      </c>
      <c r="G206" t="s">
        <v>48</v>
      </c>
      <c r="H206" t="s">
        <v>55</v>
      </c>
      <c r="I206" t="s">
        <v>1253</v>
      </c>
      <c r="J206" t="s">
        <v>27</v>
      </c>
      <c r="K206">
        <v>949.2</v>
      </c>
      <c r="L206">
        <v>4403.5</v>
      </c>
      <c r="M206">
        <v>659</v>
      </c>
      <c r="N206">
        <v>695.2</v>
      </c>
      <c r="O206">
        <v>36.200000000000003</v>
      </c>
      <c r="P206">
        <v>5.4899999999999997E-2</v>
      </c>
      <c r="Q206">
        <v>5.9</v>
      </c>
      <c r="R206">
        <v>6.75</v>
      </c>
      <c r="S206" s="60">
        <v>67</v>
      </c>
      <c r="T206" s="60">
        <v>65.2</v>
      </c>
      <c r="U206">
        <v>0</v>
      </c>
      <c r="W206" t="s">
        <v>38</v>
      </c>
      <c r="X206">
        <f>IF(Merge1[[#This Row],[qc_status]]="PASS",1,0)</f>
        <v>0</v>
      </c>
      <c r="Y206" t="s">
        <v>404</v>
      </c>
    </row>
    <row r="207" spans="1:26" x14ac:dyDescent="0.35">
      <c r="A207" t="s">
        <v>405</v>
      </c>
      <c r="B207">
        <v>45241</v>
      </c>
      <c r="C207" t="s">
        <v>51</v>
      </c>
      <c r="D207" t="s">
        <v>1244</v>
      </c>
      <c r="E207" t="s">
        <v>1242</v>
      </c>
      <c r="F207" t="s">
        <v>75</v>
      </c>
      <c r="G207" t="s">
        <v>43</v>
      </c>
      <c r="H207" t="s">
        <v>26</v>
      </c>
      <c r="I207" t="s">
        <v>1260</v>
      </c>
      <c r="J207" t="s">
        <v>27</v>
      </c>
      <c r="K207">
        <v>1133.8</v>
      </c>
      <c r="L207">
        <v>4425.8999999999996</v>
      </c>
      <c r="M207">
        <v>784.7</v>
      </c>
      <c r="N207">
        <v>791.4</v>
      </c>
      <c r="O207">
        <v>6.7</v>
      </c>
      <c r="P207">
        <v>8.5000000000000006E-3</v>
      </c>
      <c r="Q207">
        <v>13.3</v>
      </c>
      <c r="R207">
        <v>18.350000000000001</v>
      </c>
      <c r="S207" s="60">
        <v>65.8</v>
      </c>
      <c r="T207" s="60">
        <v>67.599999999999994</v>
      </c>
      <c r="U207">
        <v>0</v>
      </c>
      <c r="W207" t="s">
        <v>38</v>
      </c>
      <c r="X207">
        <f>IF(Merge1[[#This Row],[qc_status]]="PASS",1,0)</f>
        <v>0</v>
      </c>
      <c r="Y207" t="s">
        <v>406</v>
      </c>
    </row>
    <row r="208" spans="1:26" x14ac:dyDescent="0.35">
      <c r="A208" t="s">
        <v>407</v>
      </c>
      <c r="B208">
        <v>45244</v>
      </c>
      <c r="C208" t="s">
        <v>23</v>
      </c>
      <c r="D208" t="s">
        <v>1235</v>
      </c>
      <c r="E208" t="s">
        <v>1236</v>
      </c>
      <c r="F208" t="s">
        <v>54</v>
      </c>
      <c r="G208" t="s">
        <v>48</v>
      </c>
      <c r="H208" t="s">
        <v>26</v>
      </c>
      <c r="I208" t="s">
        <v>1260</v>
      </c>
      <c r="J208" t="s">
        <v>27</v>
      </c>
      <c r="K208">
        <v>570.1</v>
      </c>
      <c r="L208">
        <v>2753.8</v>
      </c>
      <c r="M208">
        <v>364.1</v>
      </c>
      <c r="N208">
        <v>361.6</v>
      </c>
      <c r="O208">
        <v>-2.5</v>
      </c>
      <c r="P208">
        <v>-6.8999999999999999E-3</v>
      </c>
      <c r="Q208">
        <v>14.9</v>
      </c>
      <c r="R208">
        <v>13.01</v>
      </c>
      <c r="S208" s="60">
        <v>60.2</v>
      </c>
      <c r="T208" s="60">
        <v>60.2</v>
      </c>
      <c r="U208">
        <v>5</v>
      </c>
      <c r="W208" t="s">
        <v>38</v>
      </c>
      <c r="X208">
        <f>IF(Merge1[[#This Row],[qc_status]]="PASS",1,0)</f>
        <v>0</v>
      </c>
      <c r="Y208" t="s">
        <v>408</v>
      </c>
      <c r="Z208" t="s">
        <v>40</v>
      </c>
    </row>
    <row r="209" spans="1:26" x14ac:dyDescent="0.35">
      <c r="A209" t="s">
        <v>407</v>
      </c>
      <c r="B209">
        <v>45244</v>
      </c>
      <c r="C209" t="s">
        <v>23</v>
      </c>
      <c r="D209" t="s">
        <v>1235</v>
      </c>
      <c r="E209" t="s">
        <v>1236</v>
      </c>
      <c r="F209" t="s">
        <v>54</v>
      </c>
      <c r="G209" t="s">
        <v>48</v>
      </c>
      <c r="H209" t="s">
        <v>26</v>
      </c>
      <c r="I209" t="s">
        <v>1260</v>
      </c>
      <c r="J209" t="s">
        <v>27</v>
      </c>
      <c r="K209">
        <v>570.1</v>
      </c>
      <c r="L209">
        <v>2753.8</v>
      </c>
      <c r="M209">
        <v>364.1</v>
      </c>
      <c r="N209">
        <v>361.6</v>
      </c>
      <c r="O209">
        <v>-2.5</v>
      </c>
      <c r="P209">
        <v>-6.8999999999999999E-3</v>
      </c>
      <c r="Q209">
        <v>14.9</v>
      </c>
      <c r="R209">
        <v>13.01</v>
      </c>
      <c r="S209" s="60">
        <v>60.2</v>
      </c>
      <c r="T209" s="60">
        <v>60.2</v>
      </c>
      <c r="U209">
        <v>5</v>
      </c>
      <c r="W209" t="s">
        <v>38</v>
      </c>
      <c r="X209">
        <f>IF(Merge1[[#This Row],[qc_status]]="PASS",1,0)</f>
        <v>0</v>
      </c>
      <c r="Y209" t="s">
        <v>408</v>
      </c>
      <c r="Z209" t="s">
        <v>40</v>
      </c>
    </row>
    <row r="210" spans="1:26" hidden="1" x14ac:dyDescent="0.35">
      <c r="A210" t="s">
        <v>409</v>
      </c>
      <c r="B210">
        <v>45244</v>
      </c>
      <c r="C210" t="s">
        <v>31</v>
      </c>
      <c r="D210" t="s">
        <v>1241</v>
      </c>
      <c r="E210" t="s">
        <v>1242</v>
      </c>
      <c r="F210" t="s">
        <v>37</v>
      </c>
      <c r="G210" t="s">
        <v>48</v>
      </c>
      <c r="H210" t="s">
        <v>26</v>
      </c>
      <c r="I210" t="s">
        <v>1260</v>
      </c>
      <c r="J210" t="s">
        <v>34</v>
      </c>
      <c r="K210">
        <v>503.9</v>
      </c>
      <c r="L210">
        <v>2540.1999999999998</v>
      </c>
      <c r="M210">
        <v>360.6</v>
      </c>
      <c r="N210">
        <v>370.2</v>
      </c>
      <c r="O210">
        <v>9.6</v>
      </c>
      <c r="P210">
        <v>2.6599999999999999E-2</v>
      </c>
      <c r="Q210">
        <v>14.5</v>
      </c>
      <c r="R210">
        <v>18.13</v>
      </c>
      <c r="S210">
        <v>67.900000000000006</v>
      </c>
      <c r="T210">
        <v>68.400000000000006</v>
      </c>
      <c r="U210">
        <v>0</v>
      </c>
      <c r="W210" t="s">
        <v>28</v>
      </c>
      <c r="X210">
        <f>IF(Merge1[[#This Row],[qc_status]]="PASS",1,0)</f>
        <v>1</v>
      </c>
      <c r="Y210" t="s">
        <v>410</v>
      </c>
    </row>
    <row r="211" spans="1:26" hidden="1" x14ac:dyDescent="0.35">
      <c r="A211" t="s">
        <v>411</v>
      </c>
      <c r="B211">
        <v>45246</v>
      </c>
      <c r="C211" t="s">
        <v>42</v>
      </c>
      <c r="D211" t="s">
        <v>1246</v>
      </c>
      <c r="E211" t="s">
        <v>1247</v>
      </c>
      <c r="F211" t="s">
        <v>54</v>
      </c>
      <c r="G211" t="s">
        <v>25</v>
      </c>
      <c r="H211" t="s">
        <v>33</v>
      </c>
      <c r="I211" t="s">
        <v>1258</v>
      </c>
      <c r="J211" t="s">
        <v>34</v>
      </c>
      <c r="K211">
        <v>679.7</v>
      </c>
      <c r="L211">
        <v>3440.4</v>
      </c>
      <c r="M211">
        <v>386.1</v>
      </c>
      <c r="N211">
        <v>397.4</v>
      </c>
      <c r="O211">
        <v>11.3</v>
      </c>
      <c r="P211">
        <v>2.93E-2</v>
      </c>
      <c r="Q211">
        <v>13.8</v>
      </c>
      <c r="R211">
        <v>14.75</v>
      </c>
      <c r="S211">
        <v>61.7</v>
      </c>
      <c r="T211">
        <v>63</v>
      </c>
      <c r="U211">
        <v>5</v>
      </c>
      <c r="V211" t="s">
        <v>239</v>
      </c>
      <c r="W211" t="s">
        <v>28</v>
      </c>
      <c r="X211">
        <f>IF(Merge1[[#This Row],[qc_status]]="PASS",1,0)</f>
        <v>1</v>
      </c>
      <c r="Y211" t="s">
        <v>412</v>
      </c>
      <c r="Z211" t="s">
        <v>40</v>
      </c>
    </row>
    <row r="212" spans="1:26" hidden="1" x14ac:dyDescent="0.35">
      <c r="A212" t="s">
        <v>413</v>
      </c>
      <c r="B212">
        <v>45250</v>
      </c>
      <c r="C212" t="s">
        <v>51</v>
      </c>
      <c r="D212" t="s">
        <v>1244</v>
      </c>
      <c r="E212" t="s">
        <v>1242</v>
      </c>
      <c r="F212" t="s">
        <v>75</v>
      </c>
      <c r="G212" t="s">
        <v>48</v>
      </c>
      <c r="H212" t="s">
        <v>59</v>
      </c>
      <c r="I212" t="s">
        <v>1257</v>
      </c>
      <c r="J212" t="s">
        <v>34</v>
      </c>
      <c r="K212">
        <v>1068.8</v>
      </c>
      <c r="L212">
        <v>5141.2</v>
      </c>
      <c r="M212">
        <v>607.20000000000005</v>
      </c>
      <c r="N212">
        <v>625.70000000000005</v>
      </c>
      <c r="O212">
        <v>18.5</v>
      </c>
      <c r="P212">
        <v>3.0499999999999999E-2</v>
      </c>
      <c r="Q212">
        <v>11.5</v>
      </c>
      <c r="R212">
        <v>16.079999999999998</v>
      </c>
      <c r="S212">
        <v>62.5</v>
      </c>
      <c r="T212">
        <v>62.4</v>
      </c>
      <c r="U212">
        <v>0</v>
      </c>
      <c r="W212" t="s">
        <v>28</v>
      </c>
      <c r="X212">
        <f>IF(Merge1[[#This Row],[qc_status]]="PASS",1,0)</f>
        <v>1</v>
      </c>
      <c r="Y212" t="s">
        <v>414</v>
      </c>
    </row>
    <row r="213" spans="1:26" x14ac:dyDescent="0.35">
      <c r="A213" t="s">
        <v>415</v>
      </c>
      <c r="B213">
        <v>45251</v>
      </c>
      <c r="C213" t="s">
        <v>23</v>
      </c>
      <c r="D213" t="s">
        <v>1235</v>
      </c>
      <c r="E213" t="s">
        <v>1236</v>
      </c>
      <c r="F213" t="s">
        <v>37</v>
      </c>
      <c r="G213" t="s">
        <v>43</v>
      </c>
      <c r="H213" t="s">
        <v>33</v>
      </c>
      <c r="I213" t="s">
        <v>1258</v>
      </c>
      <c r="J213" t="s">
        <v>27</v>
      </c>
      <c r="K213">
        <v>1033.5</v>
      </c>
      <c r="L213">
        <v>3941.8</v>
      </c>
      <c r="M213">
        <v>660.1</v>
      </c>
      <c r="N213">
        <v>629.20000000000005</v>
      </c>
      <c r="O213">
        <v>-30.9</v>
      </c>
      <c r="P213">
        <v>-4.6800000000000001E-2</v>
      </c>
      <c r="Q213">
        <v>12.9</v>
      </c>
      <c r="R213">
        <v>15.89</v>
      </c>
      <c r="S213" s="60">
        <v>63.3</v>
      </c>
      <c r="T213" s="60">
        <v>63.2</v>
      </c>
      <c r="U213">
        <v>0</v>
      </c>
      <c r="W213" t="s">
        <v>28</v>
      </c>
      <c r="X213">
        <f>IF(Merge1[[#This Row],[qc_status]]="PASS",1,0)</f>
        <v>1</v>
      </c>
      <c r="Y213" t="s">
        <v>416</v>
      </c>
    </row>
    <row r="214" spans="1:26" x14ac:dyDescent="0.35">
      <c r="A214" t="s">
        <v>415</v>
      </c>
      <c r="B214">
        <v>45251</v>
      </c>
      <c r="C214" t="s">
        <v>23</v>
      </c>
      <c r="D214" t="s">
        <v>1235</v>
      </c>
      <c r="E214" t="s">
        <v>1236</v>
      </c>
      <c r="F214" t="s">
        <v>37</v>
      </c>
      <c r="G214" t="s">
        <v>43</v>
      </c>
      <c r="H214" t="s">
        <v>33</v>
      </c>
      <c r="I214" t="s">
        <v>1258</v>
      </c>
      <c r="J214" t="s">
        <v>27</v>
      </c>
      <c r="K214">
        <v>1033.5</v>
      </c>
      <c r="L214">
        <v>3941.8</v>
      </c>
      <c r="M214">
        <v>660.1</v>
      </c>
      <c r="N214">
        <v>629.20000000000005</v>
      </c>
      <c r="O214">
        <v>-30.9</v>
      </c>
      <c r="P214">
        <v>-4.6800000000000001E-2</v>
      </c>
      <c r="Q214">
        <v>12.9</v>
      </c>
      <c r="R214">
        <v>15.89</v>
      </c>
      <c r="S214" s="60">
        <v>63.3</v>
      </c>
      <c r="T214" s="60">
        <v>63.2</v>
      </c>
      <c r="U214">
        <v>0</v>
      </c>
      <c r="W214" t="s">
        <v>28</v>
      </c>
      <c r="X214">
        <f>IF(Merge1[[#This Row],[qc_status]]="PASS",1,0)</f>
        <v>1</v>
      </c>
      <c r="Y214" t="s">
        <v>416</v>
      </c>
    </row>
    <row r="215" spans="1:26" hidden="1" x14ac:dyDescent="0.35">
      <c r="A215" t="s">
        <v>417</v>
      </c>
      <c r="B215">
        <v>45252</v>
      </c>
      <c r="C215" t="s">
        <v>31</v>
      </c>
      <c r="D215" t="s">
        <v>1241</v>
      </c>
      <c r="E215" t="s">
        <v>1242</v>
      </c>
      <c r="F215" t="s">
        <v>92</v>
      </c>
      <c r="G215" t="s">
        <v>89</v>
      </c>
      <c r="H215" t="s">
        <v>44</v>
      </c>
      <c r="I215" t="s">
        <v>1255</v>
      </c>
      <c r="J215" t="s">
        <v>34</v>
      </c>
      <c r="K215">
        <v>631.1</v>
      </c>
      <c r="L215">
        <v>2549.3000000000002</v>
      </c>
      <c r="M215">
        <v>404.2</v>
      </c>
      <c r="N215">
        <v>409.1</v>
      </c>
      <c r="O215">
        <v>4.9000000000000004</v>
      </c>
      <c r="P215">
        <v>1.21E-2</v>
      </c>
      <c r="Q215">
        <v>8.6999999999999993</v>
      </c>
      <c r="R215">
        <v>6.97</v>
      </c>
      <c r="S215">
        <v>68.5</v>
      </c>
      <c r="T215">
        <v>70.400000000000006</v>
      </c>
      <c r="U215">
        <v>0</v>
      </c>
      <c r="W215" t="s">
        <v>28</v>
      </c>
      <c r="X215">
        <f>IF(Merge1[[#This Row],[qc_status]]="PASS",1,0)</f>
        <v>1</v>
      </c>
      <c r="Y215" t="s">
        <v>418</v>
      </c>
    </row>
    <row r="216" spans="1:26" hidden="1" x14ac:dyDescent="0.35">
      <c r="A216" t="s">
        <v>419</v>
      </c>
      <c r="B216">
        <v>45254</v>
      </c>
      <c r="C216" t="s">
        <v>97</v>
      </c>
      <c r="D216" t="s">
        <v>1238</v>
      </c>
      <c r="E216" t="s">
        <v>1239</v>
      </c>
      <c r="F216" t="s">
        <v>92</v>
      </c>
      <c r="G216" t="s">
        <v>48</v>
      </c>
      <c r="H216" t="s">
        <v>26</v>
      </c>
      <c r="I216" t="s">
        <v>1260</v>
      </c>
      <c r="J216" t="s">
        <v>34</v>
      </c>
      <c r="K216">
        <v>1060.0999999999999</v>
      </c>
      <c r="L216">
        <v>3978.2</v>
      </c>
      <c r="M216">
        <v>752.7</v>
      </c>
      <c r="N216">
        <v>739.7</v>
      </c>
      <c r="O216">
        <v>-13</v>
      </c>
      <c r="P216">
        <v>-1.7299999999999999E-2</v>
      </c>
      <c r="Q216">
        <v>14.3</v>
      </c>
      <c r="R216">
        <v>17.600000000000001</v>
      </c>
      <c r="S216">
        <v>67.8</v>
      </c>
      <c r="T216">
        <v>66.099999999999994</v>
      </c>
      <c r="U216">
        <v>0</v>
      </c>
      <c r="W216" t="s">
        <v>28</v>
      </c>
      <c r="X216">
        <f>IF(Merge1[[#This Row],[qc_status]]="PASS",1,0)</f>
        <v>1</v>
      </c>
      <c r="Y216" t="s">
        <v>420</v>
      </c>
    </row>
    <row r="217" spans="1:26" hidden="1" x14ac:dyDescent="0.35">
      <c r="A217" t="s">
        <v>421</v>
      </c>
      <c r="B217">
        <v>45258</v>
      </c>
      <c r="C217" t="s">
        <v>42</v>
      </c>
      <c r="D217" t="s">
        <v>1246</v>
      </c>
      <c r="E217" t="s">
        <v>1247</v>
      </c>
      <c r="F217" t="s">
        <v>92</v>
      </c>
      <c r="G217" t="s">
        <v>25</v>
      </c>
      <c r="H217" t="s">
        <v>26</v>
      </c>
      <c r="I217" t="s">
        <v>1260</v>
      </c>
      <c r="J217" t="s">
        <v>34</v>
      </c>
      <c r="K217">
        <v>495.1</v>
      </c>
      <c r="L217">
        <v>2292.6</v>
      </c>
      <c r="M217">
        <v>295.10000000000002</v>
      </c>
      <c r="N217">
        <v>300.39999999999998</v>
      </c>
      <c r="O217">
        <v>5.3</v>
      </c>
      <c r="P217">
        <v>1.7999999999999999E-2</v>
      </c>
      <c r="Q217">
        <v>8.6</v>
      </c>
      <c r="R217">
        <v>8.19</v>
      </c>
      <c r="S217">
        <v>63.5</v>
      </c>
      <c r="T217">
        <v>61.1</v>
      </c>
      <c r="U217">
        <v>3</v>
      </c>
      <c r="V217" t="s">
        <v>70</v>
      </c>
      <c r="W217" t="s">
        <v>28</v>
      </c>
      <c r="X217">
        <f>IF(Merge1[[#This Row],[qc_status]]="PASS",1,0)</f>
        <v>1</v>
      </c>
      <c r="Y217" t="s">
        <v>422</v>
      </c>
      <c r="Z217" t="s">
        <v>61</v>
      </c>
    </row>
    <row r="218" spans="1:26" x14ac:dyDescent="0.35">
      <c r="A218" t="s">
        <v>423</v>
      </c>
      <c r="B218">
        <v>45263</v>
      </c>
      <c r="C218" t="s">
        <v>23</v>
      </c>
      <c r="D218" t="s">
        <v>1235</v>
      </c>
      <c r="E218" t="s">
        <v>1236</v>
      </c>
      <c r="F218" t="s">
        <v>75</v>
      </c>
      <c r="G218" t="s">
        <v>25</v>
      </c>
      <c r="H218" t="s">
        <v>26</v>
      </c>
      <c r="I218" t="s">
        <v>1260</v>
      </c>
      <c r="J218" t="s">
        <v>27</v>
      </c>
      <c r="K218">
        <v>970</v>
      </c>
      <c r="L218">
        <v>4064</v>
      </c>
      <c r="M218">
        <v>582.29999999999995</v>
      </c>
      <c r="N218">
        <v>592.9</v>
      </c>
      <c r="O218">
        <v>10.6</v>
      </c>
      <c r="P218">
        <v>1.8200000000000001E-2</v>
      </c>
      <c r="Q218">
        <v>4.4000000000000004</v>
      </c>
      <c r="R218">
        <v>4.41</v>
      </c>
      <c r="S218" s="60">
        <v>61.1</v>
      </c>
      <c r="T218" s="60">
        <v>59.6</v>
      </c>
      <c r="U218">
        <v>0</v>
      </c>
      <c r="W218" t="s">
        <v>28</v>
      </c>
      <c r="X218">
        <f>IF(Merge1[[#This Row],[qc_status]]="PASS",1,0)</f>
        <v>1</v>
      </c>
      <c r="Y218" t="s">
        <v>424</v>
      </c>
    </row>
    <row r="219" spans="1:26" x14ac:dyDescent="0.35">
      <c r="A219" t="s">
        <v>423</v>
      </c>
      <c r="B219">
        <v>45263</v>
      </c>
      <c r="C219" t="s">
        <v>23</v>
      </c>
      <c r="D219" t="s">
        <v>1235</v>
      </c>
      <c r="E219" t="s">
        <v>1236</v>
      </c>
      <c r="F219" t="s">
        <v>75</v>
      </c>
      <c r="G219" t="s">
        <v>25</v>
      </c>
      <c r="H219" t="s">
        <v>26</v>
      </c>
      <c r="I219" t="s">
        <v>1260</v>
      </c>
      <c r="J219" t="s">
        <v>27</v>
      </c>
      <c r="K219">
        <v>970</v>
      </c>
      <c r="L219">
        <v>4064</v>
      </c>
      <c r="M219">
        <v>582.29999999999995</v>
      </c>
      <c r="N219">
        <v>592.9</v>
      </c>
      <c r="O219">
        <v>10.6</v>
      </c>
      <c r="P219">
        <v>1.8200000000000001E-2</v>
      </c>
      <c r="Q219">
        <v>4.4000000000000004</v>
      </c>
      <c r="R219">
        <v>4.41</v>
      </c>
      <c r="S219" s="60">
        <v>61.1</v>
      </c>
      <c r="T219" s="60">
        <v>59.6</v>
      </c>
      <c r="U219">
        <v>0</v>
      </c>
      <c r="W219" t="s">
        <v>28</v>
      </c>
      <c r="X219">
        <f>IF(Merge1[[#This Row],[qc_status]]="PASS",1,0)</f>
        <v>1</v>
      </c>
      <c r="Y219" t="s">
        <v>424</v>
      </c>
    </row>
    <row r="220" spans="1:26" hidden="1" x14ac:dyDescent="0.35">
      <c r="A220" t="s">
        <v>425</v>
      </c>
      <c r="B220">
        <v>45267</v>
      </c>
      <c r="C220" t="s">
        <v>31</v>
      </c>
      <c r="D220" t="s">
        <v>1241</v>
      </c>
      <c r="E220" t="s">
        <v>1242</v>
      </c>
      <c r="F220" t="s">
        <v>37</v>
      </c>
      <c r="G220" t="s">
        <v>105</v>
      </c>
      <c r="H220" t="s">
        <v>55</v>
      </c>
      <c r="I220" t="s">
        <v>1253</v>
      </c>
      <c r="J220" t="s">
        <v>34</v>
      </c>
      <c r="K220">
        <v>457.6</v>
      </c>
      <c r="L220">
        <v>1676.2</v>
      </c>
      <c r="M220">
        <v>267.39999999999998</v>
      </c>
      <c r="N220">
        <v>273.60000000000002</v>
      </c>
      <c r="O220">
        <v>6.2</v>
      </c>
      <c r="P220">
        <v>2.3199999999999998E-2</v>
      </c>
      <c r="Q220">
        <v>17.7</v>
      </c>
      <c r="R220">
        <v>23.27</v>
      </c>
      <c r="S220">
        <v>60.5</v>
      </c>
      <c r="T220">
        <v>58.7</v>
      </c>
      <c r="U220">
        <v>0</v>
      </c>
      <c r="W220" t="s">
        <v>38</v>
      </c>
      <c r="X220">
        <f>IF(Merge1[[#This Row],[qc_status]]="PASS",1,0)</f>
        <v>0</v>
      </c>
      <c r="Y220" t="s">
        <v>426</v>
      </c>
    </row>
    <row r="221" spans="1:26" x14ac:dyDescent="0.35">
      <c r="A221" t="s">
        <v>427</v>
      </c>
      <c r="B221">
        <v>45268</v>
      </c>
      <c r="C221" t="s">
        <v>51</v>
      </c>
      <c r="D221" t="s">
        <v>1244</v>
      </c>
      <c r="E221" t="s">
        <v>1242</v>
      </c>
      <c r="F221" t="s">
        <v>75</v>
      </c>
      <c r="G221" t="s">
        <v>32</v>
      </c>
      <c r="H221" t="s">
        <v>59</v>
      </c>
      <c r="I221" t="s">
        <v>1257</v>
      </c>
      <c r="J221" t="s">
        <v>27</v>
      </c>
      <c r="K221">
        <v>676.3</v>
      </c>
      <c r="L221">
        <v>3269.3</v>
      </c>
      <c r="M221">
        <v>451.8</v>
      </c>
      <c r="N221">
        <v>469.7</v>
      </c>
      <c r="O221">
        <v>17.899999999999999</v>
      </c>
      <c r="P221">
        <v>3.9600000000000003E-2</v>
      </c>
      <c r="Q221">
        <v>13.3</v>
      </c>
      <c r="R221">
        <v>12.01</v>
      </c>
      <c r="S221" s="60">
        <v>66.400000000000006</v>
      </c>
      <c r="T221" s="60">
        <v>67.2</v>
      </c>
      <c r="U221">
        <v>5</v>
      </c>
      <c r="V221" t="s">
        <v>70</v>
      </c>
      <c r="W221" t="s">
        <v>38</v>
      </c>
      <c r="X221">
        <f>IF(Merge1[[#This Row],[qc_status]]="PASS",1,0)</f>
        <v>0</v>
      </c>
      <c r="Y221" t="s">
        <v>428</v>
      </c>
      <c r="Z221" t="s">
        <v>40</v>
      </c>
    </row>
    <row r="222" spans="1:26" x14ac:dyDescent="0.35">
      <c r="A222" t="s">
        <v>429</v>
      </c>
      <c r="B222">
        <v>45269</v>
      </c>
      <c r="C222" t="s">
        <v>97</v>
      </c>
      <c r="D222" t="s">
        <v>1238</v>
      </c>
      <c r="E222" t="s">
        <v>1239</v>
      </c>
      <c r="F222" t="s">
        <v>24</v>
      </c>
      <c r="G222" t="s">
        <v>32</v>
      </c>
      <c r="H222" t="s">
        <v>55</v>
      </c>
      <c r="I222" t="s">
        <v>1253</v>
      </c>
      <c r="J222" t="s">
        <v>27</v>
      </c>
      <c r="K222">
        <v>673.9</v>
      </c>
      <c r="L222">
        <v>2880.5</v>
      </c>
      <c r="M222">
        <v>425.6</v>
      </c>
      <c r="N222">
        <v>417.6</v>
      </c>
      <c r="O222">
        <v>-8</v>
      </c>
      <c r="P222">
        <v>-1.8800000000000001E-2</v>
      </c>
      <c r="Q222">
        <v>10.5</v>
      </c>
      <c r="R222">
        <v>13.55</v>
      </c>
      <c r="S222" s="60">
        <v>64.900000000000006</v>
      </c>
      <c r="T222" s="60">
        <v>63.6</v>
      </c>
      <c r="U222">
        <v>3</v>
      </c>
      <c r="V222" t="s">
        <v>70</v>
      </c>
      <c r="W222" t="s">
        <v>38</v>
      </c>
      <c r="X222">
        <f>IF(Merge1[[#This Row],[qc_status]]="PASS",1,0)</f>
        <v>0</v>
      </c>
      <c r="Y222" t="s">
        <v>430</v>
      </c>
      <c r="Z222" t="s">
        <v>40</v>
      </c>
    </row>
    <row r="223" spans="1:26" x14ac:dyDescent="0.35">
      <c r="A223" t="s">
        <v>431</v>
      </c>
      <c r="B223">
        <v>45272</v>
      </c>
      <c r="C223" t="s">
        <v>42</v>
      </c>
      <c r="D223" t="s">
        <v>1246</v>
      </c>
      <c r="E223" t="s">
        <v>1247</v>
      </c>
      <c r="F223" t="s">
        <v>92</v>
      </c>
      <c r="G223" t="s">
        <v>32</v>
      </c>
      <c r="H223" t="s">
        <v>59</v>
      </c>
      <c r="I223" t="s">
        <v>1257</v>
      </c>
      <c r="J223" t="s">
        <v>27</v>
      </c>
      <c r="K223">
        <v>448.5</v>
      </c>
      <c r="L223">
        <v>2377.1999999999998</v>
      </c>
      <c r="M223">
        <v>268.39999999999998</v>
      </c>
      <c r="N223">
        <v>274.3</v>
      </c>
      <c r="O223">
        <v>5.9</v>
      </c>
      <c r="P223">
        <v>2.1999999999999999E-2</v>
      </c>
      <c r="Q223">
        <v>5.3</v>
      </c>
      <c r="R223">
        <v>5.73</v>
      </c>
      <c r="S223" s="60">
        <v>65.8</v>
      </c>
      <c r="T223" s="60">
        <v>66</v>
      </c>
      <c r="U223">
        <v>0</v>
      </c>
      <c r="W223" t="s">
        <v>28</v>
      </c>
      <c r="X223">
        <f>IF(Merge1[[#This Row],[qc_status]]="PASS",1,0)</f>
        <v>1</v>
      </c>
      <c r="Y223" t="s">
        <v>432</v>
      </c>
    </row>
    <row r="224" spans="1:26" x14ac:dyDescent="0.35">
      <c r="A224" t="s">
        <v>433</v>
      </c>
      <c r="B224">
        <v>45278</v>
      </c>
      <c r="C224" t="s">
        <v>23</v>
      </c>
      <c r="D224" t="s">
        <v>1235</v>
      </c>
      <c r="E224" t="s">
        <v>1236</v>
      </c>
      <c r="F224" t="s">
        <v>24</v>
      </c>
      <c r="G224" t="s">
        <v>43</v>
      </c>
      <c r="H224" t="s">
        <v>44</v>
      </c>
      <c r="I224" t="s">
        <v>1255</v>
      </c>
      <c r="J224" t="s">
        <v>27</v>
      </c>
      <c r="K224">
        <v>425.2</v>
      </c>
      <c r="L224">
        <v>2312.6</v>
      </c>
      <c r="M224">
        <v>291.60000000000002</v>
      </c>
      <c r="N224">
        <v>313</v>
      </c>
      <c r="O224">
        <v>21.4</v>
      </c>
      <c r="P224">
        <v>7.3400000000000007E-2</v>
      </c>
      <c r="Q224">
        <v>10.199999999999999</v>
      </c>
      <c r="R224">
        <v>10.86</v>
      </c>
      <c r="S224" s="60">
        <v>62.1</v>
      </c>
      <c r="T224" s="60">
        <v>63.8</v>
      </c>
      <c r="U224">
        <v>0</v>
      </c>
      <c r="W224" t="s">
        <v>38</v>
      </c>
      <c r="X224">
        <f>IF(Merge1[[#This Row],[qc_status]]="PASS",1,0)</f>
        <v>0</v>
      </c>
      <c r="Y224" t="s">
        <v>434</v>
      </c>
    </row>
    <row r="225" spans="1:26" x14ac:dyDescent="0.35">
      <c r="A225" t="s">
        <v>433</v>
      </c>
      <c r="B225">
        <v>45278</v>
      </c>
      <c r="C225" t="s">
        <v>23</v>
      </c>
      <c r="D225" t="s">
        <v>1235</v>
      </c>
      <c r="E225" t="s">
        <v>1236</v>
      </c>
      <c r="F225" t="s">
        <v>24</v>
      </c>
      <c r="G225" t="s">
        <v>43</v>
      </c>
      <c r="H225" t="s">
        <v>44</v>
      </c>
      <c r="I225" t="s">
        <v>1255</v>
      </c>
      <c r="J225" t="s">
        <v>27</v>
      </c>
      <c r="K225">
        <v>425.2</v>
      </c>
      <c r="L225">
        <v>2312.6</v>
      </c>
      <c r="M225">
        <v>291.60000000000002</v>
      </c>
      <c r="N225">
        <v>313</v>
      </c>
      <c r="O225">
        <v>21.4</v>
      </c>
      <c r="P225">
        <v>7.3400000000000007E-2</v>
      </c>
      <c r="Q225">
        <v>10.199999999999999</v>
      </c>
      <c r="R225">
        <v>10.86</v>
      </c>
      <c r="S225" s="60">
        <v>62.1</v>
      </c>
      <c r="T225" s="60">
        <v>63.8</v>
      </c>
      <c r="U225">
        <v>0</v>
      </c>
      <c r="W225" t="s">
        <v>38</v>
      </c>
      <c r="X225">
        <f>IF(Merge1[[#This Row],[qc_status]]="PASS",1,0)</f>
        <v>0</v>
      </c>
      <c r="Y225" t="s">
        <v>434</v>
      </c>
    </row>
    <row r="226" spans="1:26" hidden="1" x14ac:dyDescent="0.35">
      <c r="A226" t="s">
        <v>435</v>
      </c>
      <c r="B226">
        <v>45281</v>
      </c>
      <c r="C226" t="s">
        <v>31</v>
      </c>
      <c r="D226" t="s">
        <v>1241</v>
      </c>
      <c r="E226" t="s">
        <v>1242</v>
      </c>
      <c r="F226" t="s">
        <v>92</v>
      </c>
      <c r="G226" t="s">
        <v>32</v>
      </c>
      <c r="H226" t="s">
        <v>26</v>
      </c>
      <c r="I226" t="s">
        <v>1260</v>
      </c>
      <c r="J226" t="s">
        <v>34</v>
      </c>
      <c r="K226">
        <v>1014.1</v>
      </c>
      <c r="L226">
        <v>5383.5</v>
      </c>
      <c r="M226">
        <v>603.1</v>
      </c>
      <c r="N226">
        <v>615.4</v>
      </c>
      <c r="O226">
        <v>12.3</v>
      </c>
      <c r="P226">
        <v>2.0400000000000001E-2</v>
      </c>
      <c r="Q226">
        <v>7.8</v>
      </c>
      <c r="R226">
        <v>7.38</v>
      </c>
      <c r="S226">
        <v>69.3</v>
      </c>
      <c r="T226">
        <v>67.900000000000006</v>
      </c>
      <c r="U226">
        <v>0</v>
      </c>
      <c r="W226" t="s">
        <v>28</v>
      </c>
      <c r="X226">
        <f>IF(Merge1[[#This Row],[qc_status]]="PASS",1,0)</f>
        <v>1</v>
      </c>
      <c r="Y226" t="s">
        <v>436</v>
      </c>
    </row>
    <row r="227" spans="1:26" x14ac:dyDescent="0.35">
      <c r="A227" t="s">
        <v>437</v>
      </c>
      <c r="B227">
        <v>45281</v>
      </c>
      <c r="C227" t="s">
        <v>42</v>
      </c>
      <c r="D227" t="s">
        <v>1246</v>
      </c>
      <c r="E227" t="s">
        <v>1247</v>
      </c>
      <c r="F227" t="s">
        <v>24</v>
      </c>
      <c r="G227" t="s">
        <v>105</v>
      </c>
      <c r="H227" t="s">
        <v>33</v>
      </c>
      <c r="I227" t="s">
        <v>1258</v>
      </c>
      <c r="J227" t="s">
        <v>27</v>
      </c>
      <c r="K227">
        <v>948.4</v>
      </c>
      <c r="L227">
        <v>4082.6</v>
      </c>
      <c r="M227">
        <v>528.29999999999995</v>
      </c>
      <c r="N227">
        <v>521</v>
      </c>
      <c r="O227">
        <v>-7.3</v>
      </c>
      <c r="P227">
        <v>-1.38E-2</v>
      </c>
      <c r="Q227">
        <v>7.5</v>
      </c>
      <c r="R227">
        <v>9.9499999999999993</v>
      </c>
      <c r="S227" s="60">
        <v>68.599999999999994</v>
      </c>
      <c r="T227" s="60">
        <v>70.5</v>
      </c>
      <c r="U227">
        <v>0</v>
      </c>
      <c r="W227" t="s">
        <v>28</v>
      </c>
      <c r="X227">
        <f>IF(Merge1[[#This Row],[qc_status]]="PASS",1,0)</f>
        <v>1</v>
      </c>
      <c r="Y227" t="s">
        <v>438</v>
      </c>
    </row>
    <row r="228" spans="1:26" hidden="1" x14ac:dyDescent="0.35">
      <c r="A228" t="s">
        <v>439</v>
      </c>
      <c r="B228">
        <v>45282</v>
      </c>
      <c r="C228" t="s">
        <v>23</v>
      </c>
      <c r="D228" t="s">
        <v>1235</v>
      </c>
      <c r="E228" t="s">
        <v>1236</v>
      </c>
      <c r="F228" t="s">
        <v>54</v>
      </c>
      <c r="G228" t="s">
        <v>89</v>
      </c>
      <c r="H228" t="s">
        <v>33</v>
      </c>
      <c r="I228" t="s">
        <v>1258</v>
      </c>
      <c r="J228" t="s">
        <v>34</v>
      </c>
      <c r="K228">
        <v>809.8</v>
      </c>
      <c r="L228">
        <v>4294</v>
      </c>
      <c r="M228">
        <v>476.8</v>
      </c>
      <c r="N228">
        <v>490.9</v>
      </c>
      <c r="O228">
        <v>14.1</v>
      </c>
      <c r="P228">
        <v>2.9600000000000001E-2</v>
      </c>
      <c r="Q228">
        <v>7</v>
      </c>
      <c r="R228">
        <v>8.32</v>
      </c>
      <c r="S228">
        <v>61.6</v>
      </c>
      <c r="T228">
        <v>61.9</v>
      </c>
      <c r="U228">
        <v>0</v>
      </c>
      <c r="W228" t="s">
        <v>28</v>
      </c>
      <c r="X228">
        <f>IF(Merge1[[#This Row],[qc_status]]="PASS",1,0)</f>
        <v>1</v>
      </c>
      <c r="Y228" t="s">
        <v>440</v>
      </c>
    </row>
    <row r="229" spans="1:26" hidden="1" x14ac:dyDescent="0.35">
      <c r="A229" t="s">
        <v>439</v>
      </c>
      <c r="B229">
        <v>45282</v>
      </c>
      <c r="C229" t="s">
        <v>23</v>
      </c>
      <c r="D229" t="s">
        <v>1235</v>
      </c>
      <c r="E229" t="s">
        <v>1236</v>
      </c>
      <c r="F229" t="s">
        <v>54</v>
      </c>
      <c r="G229" t="s">
        <v>89</v>
      </c>
      <c r="H229" t="s">
        <v>33</v>
      </c>
      <c r="I229" t="s">
        <v>1258</v>
      </c>
      <c r="J229" t="s">
        <v>34</v>
      </c>
      <c r="K229">
        <v>809.8</v>
      </c>
      <c r="L229">
        <v>4294</v>
      </c>
      <c r="M229">
        <v>476.8</v>
      </c>
      <c r="N229">
        <v>490.9</v>
      </c>
      <c r="O229">
        <v>14.1</v>
      </c>
      <c r="P229">
        <v>2.9600000000000001E-2</v>
      </c>
      <c r="Q229">
        <v>7</v>
      </c>
      <c r="R229">
        <v>8.32</v>
      </c>
      <c r="S229">
        <v>61.6</v>
      </c>
      <c r="T229">
        <v>61.9</v>
      </c>
      <c r="U229">
        <v>0</v>
      </c>
      <c r="W229" t="s">
        <v>28</v>
      </c>
      <c r="X229">
        <f>IF(Merge1[[#This Row],[qc_status]]="PASS",1,0)</f>
        <v>1</v>
      </c>
      <c r="Y229" t="s">
        <v>440</v>
      </c>
    </row>
    <row r="230" spans="1:26" hidden="1" x14ac:dyDescent="0.35">
      <c r="A230" t="s">
        <v>441</v>
      </c>
      <c r="B230">
        <v>45283</v>
      </c>
      <c r="C230" t="s">
        <v>23</v>
      </c>
      <c r="D230" t="s">
        <v>1235</v>
      </c>
      <c r="E230" t="s">
        <v>1236</v>
      </c>
      <c r="F230" t="s">
        <v>37</v>
      </c>
      <c r="G230" t="s">
        <v>32</v>
      </c>
      <c r="H230" t="s">
        <v>26</v>
      </c>
      <c r="I230" t="s">
        <v>1260</v>
      </c>
      <c r="J230" t="s">
        <v>34</v>
      </c>
      <c r="K230">
        <v>550</v>
      </c>
      <c r="L230">
        <v>2839.2</v>
      </c>
      <c r="M230">
        <v>313.5</v>
      </c>
      <c r="N230">
        <v>333.5</v>
      </c>
      <c r="O230">
        <v>20</v>
      </c>
      <c r="P230">
        <v>6.3799999999999996E-2</v>
      </c>
      <c r="Q230">
        <v>16</v>
      </c>
      <c r="R230">
        <v>20.66</v>
      </c>
      <c r="S230">
        <v>68.2</v>
      </c>
      <c r="T230">
        <v>69.3</v>
      </c>
      <c r="U230">
        <v>0</v>
      </c>
      <c r="W230" t="s">
        <v>28</v>
      </c>
      <c r="X230">
        <f>IF(Merge1[[#This Row],[qc_status]]="PASS",1,0)</f>
        <v>1</v>
      </c>
      <c r="Y230" t="s">
        <v>442</v>
      </c>
    </row>
    <row r="231" spans="1:26" hidden="1" x14ac:dyDescent="0.35">
      <c r="A231" t="s">
        <v>441</v>
      </c>
      <c r="B231">
        <v>45283</v>
      </c>
      <c r="C231" t="s">
        <v>23</v>
      </c>
      <c r="D231" t="s">
        <v>1235</v>
      </c>
      <c r="E231" t="s">
        <v>1236</v>
      </c>
      <c r="F231" t="s">
        <v>37</v>
      </c>
      <c r="G231" t="s">
        <v>32</v>
      </c>
      <c r="H231" t="s">
        <v>26</v>
      </c>
      <c r="I231" t="s">
        <v>1260</v>
      </c>
      <c r="J231" t="s">
        <v>34</v>
      </c>
      <c r="K231">
        <v>550</v>
      </c>
      <c r="L231">
        <v>2839.2</v>
      </c>
      <c r="M231">
        <v>313.5</v>
      </c>
      <c r="N231">
        <v>333.5</v>
      </c>
      <c r="O231">
        <v>20</v>
      </c>
      <c r="P231">
        <v>6.3799999999999996E-2</v>
      </c>
      <c r="Q231">
        <v>16</v>
      </c>
      <c r="R231">
        <v>20.66</v>
      </c>
      <c r="S231">
        <v>68.2</v>
      </c>
      <c r="T231">
        <v>69.3</v>
      </c>
      <c r="U231">
        <v>0</v>
      </c>
      <c r="W231" t="s">
        <v>28</v>
      </c>
      <c r="X231">
        <f>IF(Merge1[[#This Row],[qc_status]]="PASS",1,0)</f>
        <v>1</v>
      </c>
      <c r="Y231" t="s">
        <v>442</v>
      </c>
    </row>
    <row r="232" spans="1:26" x14ac:dyDescent="0.35">
      <c r="A232" t="s">
        <v>443</v>
      </c>
      <c r="B232">
        <v>45284</v>
      </c>
      <c r="C232" t="s">
        <v>23</v>
      </c>
      <c r="D232" t="s">
        <v>1235</v>
      </c>
      <c r="E232" t="s">
        <v>1236</v>
      </c>
      <c r="F232" t="s">
        <v>54</v>
      </c>
      <c r="G232" t="s">
        <v>32</v>
      </c>
      <c r="H232" t="s">
        <v>44</v>
      </c>
      <c r="I232" t="s">
        <v>1255</v>
      </c>
      <c r="J232" t="s">
        <v>27</v>
      </c>
      <c r="K232">
        <v>599.70000000000005</v>
      </c>
      <c r="L232">
        <v>2675.8</v>
      </c>
      <c r="M232">
        <v>382.5</v>
      </c>
      <c r="N232">
        <v>393.2</v>
      </c>
      <c r="O232">
        <v>10.7</v>
      </c>
      <c r="P232">
        <v>2.8000000000000001E-2</v>
      </c>
      <c r="Q232">
        <v>13</v>
      </c>
      <c r="R232">
        <v>14.67</v>
      </c>
      <c r="S232" s="60">
        <v>60.5</v>
      </c>
      <c r="T232" s="60">
        <v>62.4</v>
      </c>
      <c r="U232">
        <v>0</v>
      </c>
      <c r="W232" t="s">
        <v>28</v>
      </c>
      <c r="X232">
        <f>IF(Merge1[[#This Row],[qc_status]]="PASS",1,0)</f>
        <v>1</v>
      </c>
      <c r="Y232" t="s">
        <v>444</v>
      </c>
    </row>
    <row r="233" spans="1:26" x14ac:dyDescent="0.35">
      <c r="A233" t="s">
        <v>443</v>
      </c>
      <c r="B233">
        <v>45284</v>
      </c>
      <c r="C233" t="s">
        <v>23</v>
      </c>
      <c r="D233" t="s">
        <v>1235</v>
      </c>
      <c r="E233" t="s">
        <v>1236</v>
      </c>
      <c r="F233" t="s">
        <v>54</v>
      </c>
      <c r="G233" t="s">
        <v>32</v>
      </c>
      <c r="H233" t="s">
        <v>44</v>
      </c>
      <c r="I233" t="s">
        <v>1255</v>
      </c>
      <c r="J233" t="s">
        <v>27</v>
      </c>
      <c r="K233">
        <v>599.70000000000005</v>
      </c>
      <c r="L233">
        <v>2675.8</v>
      </c>
      <c r="M233">
        <v>382.5</v>
      </c>
      <c r="N233">
        <v>393.2</v>
      </c>
      <c r="O233">
        <v>10.7</v>
      </c>
      <c r="P233">
        <v>2.8000000000000001E-2</v>
      </c>
      <c r="Q233">
        <v>13</v>
      </c>
      <c r="R233">
        <v>14.67</v>
      </c>
      <c r="S233" s="60">
        <v>60.5</v>
      </c>
      <c r="T233" s="60">
        <v>62.4</v>
      </c>
      <c r="U233">
        <v>0</v>
      </c>
      <c r="W233" t="s">
        <v>28</v>
      </c>
      <c r="X233">
        <f>IF(Merge1[[#This Row],[qc_status]]="PASS",1,0)</f>
        <v>1</v>
      </c>
      <c r="Y233" t="s">
        <v>444</v>
      </c>
    </row>
    <row r="234" spans="1:26" x14ac:dyDescent="0.35">
      <c r="A234" t="s">
        <v>445</v>
      </c>
      <c r="B234">
        <v>45284</v>
      </c>
      <c r="C234" t="s">
        <v>23</v>
      </c>
      <c r="D234" t="s">
        <v>1235</v>
      </c>
      <c r="E234" t="s">
        <v>1236</v>
      </c>
      <c r="F234" t="s">
        <v>24</v>
      </c>
      <c r="G234" t="s">
        <v>89</v>
      </c>
      <c r="H234" t="s">
        <v>26</v>
      </c>
      <c r="I234" t="s">
        <v>1260</v>
      </c>
      <c r="J234" t="s">
        <v>27</v>
      </c>
      <c r="K234">
        <v>1199</v>
      </c>
      <c r="L234">
        <v>6302.6</v>
      </c>
      <c r="M234">
        <v>739.3</v>
      </c>
      <c r="N234">
        <v>752.8</v>
      </c>
      <c r="O234">
        <v>13.5</v>
      </c>
      <c r="P234">
        <v>1.83E-2</v>
      </c>
      <c r="Q234">
        <v>7.4</v>
      </c>
      <c r="R234">
        <v>5.95</v>
      </c>
      <c r="S234" s="60">
        <v>62.6</v>
      </c>
      <c r="T234" s="60">
        <v>64.400000000000006</v>
      </c>
      <c r="U234">
        <v>5</v>
      </c>
      <c r="V234" t="s">
        <v>45</v>
      </c>
      <c r="W234" t="s">
        <v>28</v>
      </c>
      <c r="X234">
        <f>IF(Merge1[[#This Row],[qc_status]]="PASS",1,0)</f>
        <v>1</v>
      </c>
      <c r="Y234" t="s">
        <v>446</v>
      </c>
      <c r="Z234" t="s">
        <v>40</v>
      </c>
    </row>
    <row r="235" spans="1:26" x14ac:dyDescent="0.35">
      <c r="A235" t="s">
        <v>445</v>
      </c>
      <c r="B235">
        <v>45284</v>
      </c>
      <c r="C235" t="s">
        <v>23</v>
      </c>
      <c r="D235" t="s">
        <v>1235</v>
      </c>
      <c r="E235" t="s">
        <v>1236</v>
      </c>
      <c r="F235" t="s">
        <v>24</v>
      </c>
      <c r="G235" t="s">
        <v>89</v>
      </c>
      <c r="H235" t="s">
        <v>26</v>
      </c>
      <c r="I235" t="s">
        <v>1260</v>
      </c>
      <c r="J235" t="s">
        <v>27</v>
      </c>
      <c r="K235">
        <v>1199</v>
      </c>
      <c r="L235">
        <v>6302.6</v>
      </c>
      <c r="M235">
        <v>739.3</v>
      </c>
      <c r="N235">
        <v>752.8</v>
      </c>
      <c r="O235">
        <v>13.5</v>
      </c>
      <c r="P235">
        <v>1.83E-2</v>
      </c>
      <c r="Q235">
        <v>7.4</v>
      </c>
      <c r="R235">
        <v>5.95</v>
      </c>
      <c r="S235" s="60">
        <v>62.6</v>
      </c>
      <c r="T235" s="60">
        <v>64.400000000000006</v>
      </c>
      <c r="U235">
        <v>5</v>
      </c>
      <c r="V235" t="s">
        <v>45</v>
      </c>
      <c r="W235" t="s">
        <v>28</v>
      </c>
      <c r="X235">
        <f>IF(Merge1[[#This Row],[qc_status]]="PASS",1,0)</f>
        <v>1</v>
      </c>
      <c r="Y235" t="s">
        <v>446</v>
      </c>
      <c r="Z235" t="s">
        <v>40</v>
      </c>
    </row>
    <row r="236" spans="1:26" x14ac:dyDescent="0.35">
      <c r="A236" t="s">
        <v>447</v>
      </c>
      <c r="B236">
        <v>45286</v>
      </c>
      <c r="C236" t="s">
        <v>31</v>
      </c>
      <c r="D236" t="s">
        <v>1241</v>
      </c>
      <c r="E236" t="s">
        <v>1242</v>
      </c>
      <c r="F236" t="s">
        <v>75</v>
      </c>
      <c r="G236" t="s">
        <v>43</v>
      </c>
      <c r="H236" t="s">
        <v>55</v>
      </c>
      <c r="I236" t="s">
        <v>1253</v>
      </c>
      <c r="J236" t="s">
        <v>27</v>
      </c>
      <c r="K236">
        <v>822.9</v>
      </c>
      <c r="L236">
        <v>3246.2</v>
      </c>
      <c r="M236">
        <v>488.4</v>
      </c>
      <c r="N236">
        <v>488.4</v>
      </c>
      <c r="O236">
        <v>0</v>
      </c>
      <c r="P236">
        <v>0</v>
      </c>
      <c r="Q236">
        <v>16.399999999999999</v>
      </c>
      <c r="R236">
        <v>16.809999999999999</v>
      </c>
      <c r="S236" s="60">
        <v>61.7</v>
      </c>
      <c r="T236" s="60">
        <v>60</v>
      </c>
      <c r="U236">
        <v>0.5</v>
      </c>
      <c r="W236" t="s">
        <v>38</v>
      </c>
      <c r="X236">
        <f>IF(Merge1[[#This Row],[qc_status]]="PASS",1,0)</f>
        <v>0</v>
      </c>
      <c r="Y236" t="s">
        <v>448</v>
      </c>
    </row>
    <row r="237" spans="1:26" x14ac:dyDescent="0.35">
      <c r="A237" t="s">
        <v>449</v>
      </c>
      <c r="B237">
        <v>45286</v>
      </c>
      <c r="C237" t="s">
        <v>23</v>
      </c>
      <c r="D237" t="s">
        <v>1235</v>
      </c>
      <c r="E237" t="s">
        <v>1236</v>
      </c>
      <c r="F237" t="s">
        <v>24</v>
      </c>
      <c r="G237" t="s">
        <v>89</v>
      </c>
      <c r="H237" t="s">
        <v>44</v>
      </c>
      <c r="I237" t="s">
        <v>1255</v>
      </c>
      <c r="J237" t="s">
        <v>27</v>
      </c>
      <c r="K237">
        <v>806</v>
      </c>
      <c r="L237">
        <v>2833.7</v>
      </c>
      <c r="M237">
        <v>567.70000000000005</v>
      </c>
      <c r="N237">
        <v>563.5</v>
      </c>
      <c r="O237">
        <v>-4.2</v>
      </c>
      <c r="P237">
        <v>-7.4000000000000003E-3</v>
      </c>
      <c r="Q237">
        <v>6.7</v>
      </c>
      <c r="R237">
        <v>6.23</v>
      </c>
      <c r="S237" s="60">
        <v>67.7</v>
      </c>
      <c r="T237" s="60">
        <v>68.900000000000006</v>
      </c>
      <c r="U237">
        <v>0</v>
      </c>
      <c r="W237" t="s">
        <v>28</v>
      </c>
      <c r="X237">
        <f>IF(Merge1[[#This Row],[qc_status]]="PASS",1,0)</f>
        <v>1</v>
      </c>
      <c r="Y237" t="s">
        <v>450</v>
      </c>
    </row>
    <row r="238" spans="1:26" x14ac:dyDescent="0.35">
      <c r="A238" t="s">
        <v>449</v>
      </c>
      <c r="B238">
        <v>45286</v>
      </c>
      <c r="C238" t="s">
        <v>23</v>
      </c>
      <c r="D238" t="s">
        <v>1235</v>
      </c>
      <c r="E238" t="s">
        <v>1236</v>
      </c>
      <c r="F238" t="s">
        <v>24</v>
      </c>
      <c r="G238" t="s">
        <v>89</v>
      </c>
      <c r="H238" t="s">
        <v>44</v>
      </c>
      <c r="I238" t="s">
        <v>1255</v>
      </c>
      <c r="J238" t="s">
        <v>27</v>
      </c>
      <c r="K238">
        <v>806</v>
      </c>
      <c r="L238">
        <v>2833.7</v>
      </c>
      <c r="M238">
        <v>567.70000000000005</v>
      </c>
      <c r="N238">
        <v>563.5</v>
      </c>
      <c r="O238">
        <v>-4.2</v>
      </c>
      <c r="P238">
        <v>-7.4000000000000003E-3</v>
      </c>
      <c r="Q238">
        <v>6.7</v>
      </c>
      <c r="R238">
        <v>6.23</v>
      </c>
      <c r="S238" s="60">
        <v>67.7</v>
      </c>
      <c r="T238" s="60">
        <v>68.900000000000006</v>
      </c>
      <c r="U238">
        <v>0</v>
      </c>
      <c r="W238" t="s">
        <v>28</v>
      </c>
      <c r="X238">
        <f>IF(Merge1[[#This Row],[qc_status]]="PASS",1,0)</f>
        <v>1</v>
      </c>
      <c r="Y238" t="s">
        <v>450</v>
      </c>
    </row>
    <row r="239" spans="1:26" x14ac:dyDescent="0.35">
      <c r="A239" t="s">
        <v>451</v>
      </c>
      <c r="B239">
        <v>45287</v>
      </c>
      <c r="C239" t="s">
        <v>42</v>
      </c>
      <c r="D239" t="s">
        <v>1246</v>
      </c>
      <c r="E239" t="s">
        <v>1247</v>
      </c>
      <c r="F239" t="s">
        <v>92</v>
      </c>
      <c r="G239" t="s">
        <v>89</v>
      </c>
      <c r="H239" t="s">
        <v>55</v>
      </c>
      <c r="I239" t="s">
        <v>1253</v>
      </c>
      <c r="J239" t="s">
        <v>27</v>
      </c>
      <c r="K239">
        <v>728.2</v>
      </c>
      <c r="L239">
        <v>2603.4</v>
      </c>
      <c r="M239">
        <v>425.3</v>
      </c>
      <c r="N239">
        <v>407.9</v>
      </c>
      <c r="O239">
        <v>-17.399999999999999</v>
      </c>
      <c r="P239">
        <v>-4.0899999999999999E-2</v>
      </c>
      <c r="Q239">
        <v>14.5</v>
      </c>
      <c r="R239">
        <v>15.34</v>
      </c>
      <c r="S239" s="60">
        <v>68.2</v>
      </c>
      <c r="T239" s="60">
        <v>70.2</v>
      </c>
      <c r="U239">
        <v>0</v>
      </c>
      <c r="W239" t="s">
        <v>38</v>
      </c>
      <c r="X239">
        <f>IF(Merge1[[#This Row],[qc_status]]="PASS",1,0)</f>
        <v>0</v>
      </c>
      <c r="Y239" t="s">
        <v>452</v>
      </c>
    </row>
    <row r="240" spans="1:26" x14ac:dyDescent="0.35">
      <c r="A240" t="s">
        <v>453</v>
      </c>
      <c r="B240">
        <v>45290</v>
      </c>
      <c r="C240" t="s">
        <v>97</v>
      </c>
      <c r="D240" t="s">
        <v>1238</v>
      </c>
      <c r="E240" t="s">
        <v>1239</v>
      </c>
      <c r="F240" t="s">
        <v>54</v>
      </c>
      <c r="G240" t="s">
        <v>89</v>
      </c>
      <c r="H240" t="s">
        <v>44</v>
      </c>
      <c r="I240" t="s">
        <v>1255</v>
      </c>
      <c r="J240" t="s">
        <v>27</v>
      </c>
      <c r="K240">
        <v>610</v>
      </c>
      <c r="L240">
        <v>3147.1</v>
      </c>
      <c r="M240">
        <v>433.3</v>
      </c>
      <c r="N240">
        <v>397.1</v>
      </c>
      <c r="O240">
        <v>-36.200000000000003</v>
      </c>
      <c r="P240">
        <v>-8.3500000000000005E-2</v>
      </c>
      <c r="Q240">
        <v>14.9</v>
      </c>
      <c r="R240">
        <v>19.09</v>
      </c>
      <c r="S240" s="60">
        <v>65.3</v>
      </c>
      <c r="T240" s="60">
        <v>63.5</v>
      </c>
      <c r="U240">
        <v>0</v>
      </c>
      <c r="W240" t="s">
        <v>28</v>
      </c>
      <c r="X240">
        <f>IF(Merge1[[#This Row],[qc_status]]="PASS",1,0)</f>
        <v>1</v>
      </c>
      <c r="Y240" t="s">
        <v>454</v>
      </c>
      <c r="Z240" t="s">
        <v>66</v>
      </c>
    </row>
    <row r="241" spans="1:25" hidden="1" x14ac:dyDescent="0.35">
      <c r="A241" t="s">
        <v>455</v>
      </c>
      <c r="B241">
        <v>45291</v>
      </c>
      <c r="C241" t="s">
        <v>31</v>
      </c>
      <c r="D241" t="s">
        <v>1241</v>
      </c>
      <c r="E241" t="s">
        <v>1242</v>
      </c>
      <c r="F241" t="s">
        <v>24</v>
      </c>
      <c r="G241" t="s">
        <v>43</v>
      </c>
      <c r="H241" t="s">
        <v>59</v>
      </c>
      <c r="I241" t="s">
        <v>1257</v>
      </c>
      <c r="J241" t="s">
        <v>34</v>
      </c>
      <c r="K241">
        <v>692.3</v>
      </c>
      <c r="L241">
        <v>2892.6</v>
      </c>
      <c r="M241">
        <v>412.5</v>
      </c>
      <c r="N241">
        <v>419.6</v>
      </c>
      <c r="O241">
        <v>7.1</v>
      </c>
      <c r="P241">
        <v>1.72E-2</v>
      </c>
      <c r="Q241">
        <v>17.3</v>
      </c>
      <c r="R241">
        <v>23.41</v>
      </c>
      <c r="S241">
        <v>63.9</v>
      </c>
      <c r="T241">
        <v>64.400000000000006</v>
      </c>
      <c r="U241">
        <v>0</v>
      </c>
      <c r="W241" t="s">
        <v>28</v>
      </c>
      <c r="X241">
        <f>IF(Merge1[[#This Row],[qc_status]]="PASS",1,0)</f>
        <v>1</v>
      </c>
      <c r="Y241" t="s">
        <v>456</v>
      </c>
    </row>
  </sheetData>
  <phoneticPr fontId="4" type="noConversion"/>
  <conditionalFormatting sqref="P1:P240">
    <cfRule type="colorScale" priority="23">
      <colorScale>
        <cfvo type="min"/>
        <cfvo type="percentile" val="50"/>
        <cfvo type="max"/>
        <color rgb="FF63BE7B"/>
        <color rgb="FFFFEB84"/>
        <color rgb="FFF8696B"/>
      </colorScale>
    </cfRule>
  </conditionalFormatting>
  <conditionalFormatting sqref="T2:T240">
    <cfRule type="expression" dxfId="2" priority="1">
      <formula>ABS(S2-T2)&gt;1.5</formula>
    </cfRule>
  </conditionalFormatting>
  <conditionalFormatting sqref="W2:X241">
    <cfRule type="containsText" dxfId="1" priority="21" operator="containsText" text="FAIL">
      <formula>NOT(ISERROR(SEARCH("FAIL",W2)))</formula>
    </cfRule>
    <cfRule type="containsText" dxfId="0" priority="22" operator="containsText" text="PASS">
      <formula>NOT(ISERROR(SEARCH("PASS",W2)))</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90157-B9FA-4AB0-B267-64DEDEB6959F}">
  <dimension ref="A3:B40"/>
  <sheetViews>
    <sheetView showGridLines="0" topLeftCell="C4" workbookViewId="0">
      <selection activeCell="S17" sqref="S17"/>
    </sheetView>
  </sheetViews>
  <sheetFormatPr defaultRowHeight="14.5" x14ac:dyDescent="0.35"/>
  <cols>
    <col min="1" max="1" width="12.6328125" hidden="1" customWidth="1"/>
    <col min="2" max="2" width="15.81640625" hidden="1" customWidth="1"/>
    <col min="3" max="4" width="21.90625" bestFit="1" customWidth="1"/>
    <col min="5" max="6" width="12.08984375" bestFit="1" customWidth="1"/>
    <col min="7" max="7" width="18.26953125" bestFit="1" customWidth="1"/>
    <col min="18" max="18" width="0" hidden="1" customWidth="1"/>
  </cols>
  <sheetData>
    <row r="3" spans="1:2" x14ac:dyDescent="0.35">
      <c r="A3" s="46" t="s">
        <v>1296</v>
      </c>
      <c r="B3" t="s">
        <v>1324</v>
      </c>
    </row>
    <row r="4" spans="1:2" x14ac:dyDescent="0.35">
      <c r="A4" s="47" t="s">
        <v>1255</v>
      </c>
      <c r="B4" s="59">
        <v>7.4969021065675295E-2</v>
      </c>
    </row>
    <row r="5" spans="1:2" x14ac:dyDescent="0.35">
      <c r="A5" s="47" t="s">
        <v>1260</v>
      </c>
      <c r="B5" s="59">
        <v>0.10971055088702152</v>
      </c>
    </row>
    <row r="6" spans="1:2" x14ac:dyDescent="0.35">
      <c r="A6" s="47" t="s">
        <v>1257</v>
      </c>
      <c r="B6" s="59">
        <v>0.11213408876298396</v>
      </c>
    </row>
    <row r="7" spans="1:2" x14ac:dyDescent="0.35">
      <c r="A7" s="47" t="s">
        <v>1258</v>
      </c>
      <c r="B7" s="59">
        <v>6.3392713850104337E-2</v>
      </c>
    </row>
    <row r="8" spans="1:2" x14ac:dyDescent="0.35">
      <c r="A8" s="47" t="s">
        <v>1253</v>
      </c>
      <c r="B8" s="59">
        <v>6.3475546305931316E-2</v>
      </c>
    </row>
    <row r="9" spans="1:2" x14ac:dyDescent="0.35">
      <c r="A9" s="47" t="s">
        <v>1297</v>
      </c>
      <c r="B9" s="59">
        <v>8.3478903520558992E-2</v>
      </c>
    </row>
    <row r="13" spans="1:2" x14ac:dyDescent="0.35">
      <c r="A13" s="46" t="s">
        <v>1296</v>
      </c>
      <c r="B13" t="s">
        <v>1323</v>
      </c>
    </row>
    <row r="14" spans="1:2" x14ac:dyDescent="0.35">
      <c r="A14" s="47" t="s">
        <v>1255</v>
      </c>
      <c r="B14" s="59">
        <v>0.765625</v>
      </c>
    </row>
    <row r="15" spans="1:2" x14ac:dyDescent="0.35">
      <c r="A15" s="47" t="s">
        <v>1260</v>
      </c>
      <c r="B15" s="59">
        <v>0.75510204081632648</v>
      </c>
    </row>
    <row r="16" spans="1:2" x14ac:dyDescent="0.35">
      <c r="A16" s="47" t="s">
        <v>1257</v>
      </c>
      <c r="B16" s="59">
        <v>0.5714285714285714</v>
      </c>
    </row>
    <row r="17" spans="1:2" x14ac:dyDescent="0.35">
      <c r="A17" s="47" t="s">
        <v>1258</v>
      </c>
      <c r="B17" s="59">
        <v>0.7678571428571429</v>
      </c>
    </row>
    <row r="18" spans="1:2" x14ac:dyDescent="0.35">
      <c r="A18" s="47" t="s">
        <v>1253</v>
      </c>
      <c r="B18" s="59">
        <v>0.69444444444444442</v>
      </c>
    </row>
    <row r="20" spans="1:2" x14ac:dyDescent="0.35">
      <c r="A20" s="46" t="s">
        <v>1296</v>
      </c>
      <c r="B20" t="s">
        <v>1320</v>
      </c>
    </row>
    <row r="21" spans="1:2" x14ac:dyDescent="0.35">
      <c r="A21" s="47" t="s">
        <v>1255</v>
      </c>
      <c r="B21" s="60">
        <v>2.6949231485794131E-2</v>
      </c>
    </row>
    <row r="22" spans="1:2" x14ac:dyDescent="0.35">
      <c r="A22" s="47" t="s">
        <v>1260</v>
      </c>
      <c r="B22" s="60">
        <v>2.0256383460480022E-2</v>
      </c>
    </row>
    <row r="23" spans="1:2" x14ac:dyDescent="0.35">
      <c r="A23" s="47" t="s">
        <v>1257</v>
      </c>
      <c r="B23" s="60">
        <v>2.0548744892002337E-2</v>
      </c>
    </row>
    <row r="24" spans="1:2" x14ac:dyDescent="0.35">
      <c r="A24" s="47" t="s">
        <v>1258</v>
      </c>
      <c r="B24" s="60">
        <v>2.6630474122330799E-2</v>
      </c>
    </row>
    <row r="25" spans="1:2" x14ac:dyDescent="0.35">
      <c r="A25" s="47" t="s">
        <v>1253</v>
      </c>
      <c r="B25" s="60">
        <v>3.4803398683194181E-2</v>
      </c>
    </row>
    <row r="26" spans="1:2" x14ac:dyDescent="0.35">
      <c r="A26" s="47" t="s">
        <v>1297</v>
      </c>
      <c r="B26" s="60">
        <v>2.5280754255558775E-2</v>
      </c>
    </row>
    <row r="28" spans="1:2" x14ac:dyDescent="0.35">
      <c r="A28" s="46" t="s">
        <v>1296</v>
      </c>
      <c r="B28" t="s">
        <v>1327</v>
      </c>
    </row>
    <row r="29" spans="1:2" x14ac:dyDescent="0.35">
      <c r="A29" s="47" t="s">
        <v>1255</v>
      </c>
      <c r="B29" s="60">
        <v>2.4455780749728061E-2</v>
      </c>
    </row>
    <row r="30" spans="1:2" x14ac:dyDescent="0.35">
      <c r="A30" s="47" t="s">
        <v>1260</v>
      </c>
      <c r="B30" s="60">
        <v>2.3236490679660736E-2</v>
      </c>
    </row>
    <row r="31" spans="1:2" x14ac:dyDescent="0.35">
      <c r="A31" s="47" t="s">
        <v>1257</v>
      </c>
      <c r="B31" s="60">
        <v>2.1687179514657266E-2</v>
      </c>
    </row>
    <row r="32" spans="1:2" x14ac:dyDescent="0.35">
      <c r="A32" s="47" t="s">
        <v>1258</v>
      </c>
      <c r="B32" s="60">
        <v>2.3510671502836047E-2</v>
      </c>
    </row>
    <row r="33" spans="1:2" x14ac:dyDescent="0.35">
      <c r="A33" s="47" t="s">
        <v>1253</v>
      </c>
      <c r="B33" s="60">
        <v>2.8524074522138881E-2</v>
      </c>
    </row>
    <row r="35" spans="1:2" x14ac:dyDescent="0.35">
      <c r="A35" s="46" t="s">
        <v>1296</v>
      </c>
      <c r="B35" t="s">
        <v>1325</v>
      </c>
    </row>
    <row r="36" spans="1:2" x14ac:dyDescent="0.35">
      <c r="A36" s="47" t="s">
        <v>1255</v>
      </c>
      <c r="B36" s="64">
        <v>32638.500000000015</v>
      </c>
    </row>
    <row r="37" spans="1:2" x14ac:dyDescent="0.35">
      <c r="A37" s="47" t="s">
        <v>1260</v>
      </c>
      <c r="B37" s="64">
        <v>26104.200000000008</v>
      </c>
    </row>
    <row r="38" spans="1:2" x14ac:dyDescent="0.35">
      <c r="A38" s="47" t="s">
        <v>1257</v>
      </c>
      <c r="B38" s="64">
        <v>18663.099999999999</v>
      </c>
    </row>
    <row r="39" spans="1:2" x14ac:dyDescent="0.35">
      <c r="A39" s="47" t="s">
        <v>1258</v>
      </c>
      <c r="B39" s="64">
        <v>27873.300000000003</v>
      </c>
    </row>
    <row r="40" spans="1:2" x14ac:dyDescent="0.35">
      <c r="A40" s="47" t="s">
        <v>1253</v>
      </c>
      <c r="B40" s="64">
        <v>16532</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980B9"/>
  </sheetPr>
  <dimension ref="A1:O151"/>
  <sheetViews>
    <sheetView workbookViewId="0">
      <pane ySplit="1" topLeftCell="A125" activePane="bottomLeft" state="frozen"/>
      <selection pane="bottomLeft"/>
    </sheetView>
  </sheetViews>
  <sheetFormatPr defaultRowHeight="14.5" x14ac:dyDescent="0.35"/>
  <cols>
    <col min="1" max="1" width="16" customWidth="1"/>
    <col min="2" max="2" width="14" customWidth="1"/>
    <col min="3" max="3" width="16" customWidth="1"/>
    <col min="4" max="4" width="10" customWidth="1"/>
    <col min="5" max="5" width="12" customWidth="1"/>
    <col min="6" max="6" width="24" customWidth="1"/>
    <col min="7" max="7" width="16" customWidth="1"/>
    <col min="8" max="10" width="14" customWidth="1"/>
    <col min="11" max="11" width="13" customWidth="1"/>
    <col min="12" max="13" width="12" customWidth="1"/>
    <col min="14" max="14" width="14" customWidth="1"/>
    <col min="15" max="15" width="44" customWidth="1"/>
  </cols>
  <sheetData>
    <row r="1" spans="1:15" ht="28" customHeight="1" x14ac:dyDescent="0.35">
      <c r="A1" s="1" t="s">
        <v>457</v>
      </c>
      <c r="B1" s="1" t="s">
        <v>458</v>
      </c>
      <c r="C1" s="1" t="s">
        <v>459</v>
      </c>
      <c r="D1" s="1" t="s">
        <v>2</v>
      </c>
      <c r="E1" s="1" t="s">
        <v>460</v>
      </c>
      <c r="F1" s="1" t="s">
        <v>461</v>
      </c>
      <c r="G1" s="1" t="s">
        <v>462</v>
      </c>
      <c r="H1" s="1" t="s">
        <v>463</v>
      </c>
      <c r="I1" s="1" t="s">
        <v>464</v>
      </c>
      <c r="J1" s="1" t="s">
        <v>465</v>
      </c>
      <c r="K1" s="1" t="s">
        <v>466</v>
      </c>
      <c r="L1" s="1" t="s">
        <v>467</v>
      </c>
      <c r="M1" s="1" t="s">
        <v>468</v>
      </c>
      <c r="N1" s="1" t="s">
        <v>469</v>
      </c>
      <c r="O1" s="1" t="s">
        <v>21</v>
      </c>
    </row>
    <row r="2" spans="1:15" x14ac:dyDescent="0.35">
      <c r="A2" s="2" t="s">
        <v>470</v>
      </c>
      <c r="B2" s="3">
        <v>45209</v>
      </c>
      <c r="C2" s="2" t="s">
        <v>245</v>
      </c>
      <c r="D2" s="2" t="s">
        <v>97</v>
      </c>
      <c r="E2" s="2" t="s">
        <v>471</v>
      </c>
      <c r="F2" s="4" t="s">
        <v>472</v>
      </c>
      <c r="G2" s="2" t="s">
        <v>473</v>
      </c>
      <c r="H2" s="25">
        <v>0.08</v>
      </c>
      <c r="I2" s="25">
        <v>6.25E-2</v>
      </c>
      <c r="J2" s="26">
        <v>-1.7500000000000002E-2</v>
      </c>
      <c r="K2" s="27">
        <v>-0.21879999999999999</v>
      </c>
      <c r="L2" s="10" t="s">
        <v>474</v>
      </c>
      <c r="M2" s="2" t="s">
        <v>55</v>
      </c>
      <c r="N2" s="2" t="s">
        <v>475</v>
      </c>
      <c r="O2" s="4"/>
    </row>
    <row r="3" spans="1:15" x14ac:dyDescent="0.35">
      <c r="A3" s="11" t="s">
        <v>476</v>
      </c>
      <c r="B3" s="12">
        <v>44991</v>
      </c>
      <c r="C3" s="11" t="s">
        <v>131</v>
      </c>
      <c r="D3" s="11" t="s">
        <v>51</v>
      </c>
      <c r="E3" s="11" t="s">
        <v>477</v>
      </c>
      <c r="F3" s="13" t="s">
        <v>472</v>
      </c>
      <c r="G3" s="11" t="s">
        <v>473</v>
      </c>
      <c r="H3" s="28">
        <v>0.08</v>
      </c>
      <c r="I3" s="28">
        <v>0.04</v>
      </c>
      <c r="J3" s="29">
        <v>-0.04</v>
      </c>
      <c r="K3" s="24">
        <v>-0.5</v>
      </c>
      <c r="L3" s="20" t="s">
        <v>478</v>
      </c>
      <c r="M3" s="11" t="s">
        <v>55</v>
      </c>
      <c r="N3" s="11" t="s">
        <v>479</v>
      </c>
      <c r="O3" s="13" t="s">
        <v>480</v>
      </c>
    </row>
    <row r="4" spans="1:15" x14ac:dyDescent="0.35">
      <c r="A4" s="2" t="s">
        <v>481</v>
      </c>
      <c r="B4" s="3">
        <v>44998</v>
      </c>
      <c r="C4" s="2" t="s">
        <v>405</v>
      </c>
      <c r="D4" s="2" t="s">
        <v>31</v>
      </c>
      <c r="E4" s="2" t="s">
        <v>482</v>
      </c>
      <c r="F4" s="4" t="s">
        <v>472</v>
      </c>
      <c r="G4" s="2" t="s">
        <v>473</v>
      </c>
      <c r="H4" s="25">
        <v>0.08</v>
      </c>
      <c r="I4" s="25">
        <v>0.1188</v>
      </c>
      <c r="J4" s="29">
        <v>3.8800000000000001E-2</v>
      </c>
      <c r="K4" s="24">
        <v>0.48499999999999999</v>
      </c>
      <c r="L4" s="20" t="s">
        <v>478</v>
      </c>
      <c r="M4" s="2" t="s">
        <v>26</v>
      </c>
      <c r="N4" s="2" t="s">
        <v>479</v>
      </c>
      <c r="O4" s="4" t="s">
        <v>480</v>
      </c>
    </row>
    <row r="5" spans="1:15" x14ac:dyDescent="0.35">
      <c r="A5" s="11" t="s">
        <v>483</v>
      </c>
      <c r="B5" s="12">
        <v>45286</v>
      </c>
      <c r="C5" s="11" t="s">
        <v>287</v>
      </c>
      <c r="D5" s="11" t="s">
        <v>23</v>
      </c>
      <c r="E5" s="11" t="s">
        <v>477</v>
      </c>
      <c r="F5" s="13" t="s">
        <v>484</v>
      </c>
      <c r="G5" s="11" t="s">
        <v>485</v>
      </c>
      <c r="H5" s="28">
        <v>50</v>
      </c>
      <c r="I5" s="28">
        <v>56.890700000000002</v>
      </c>
      <c r="J5" s="26">
        <v>6.8906999999999998</v>
      </c>
      <c r="K5" s="27">
        <v>0.13780000000000001</v>
      </c>
      <c r="L5" s="10" t="s">
        <v>474</v>
      </c>
      <c r="M5" s="11" t="s">
        <v>59</v>
      </c>
      <c r="N5" s="11" t="s">
        <v>479</v>
      </c>
      <c r="O5" s="13"/>
    </row>
    <row r="6" spans="1:15" x14ac:dyDescent="0.35">
      <c r="A6" s="2" t="s">
        <v>486</v>
      </c>
      <c r="B6" s="3">
        <v>45049</v>
      </c>
      <c r="C6" s="2" t="s">
        <v>200</v>
      </c>
      <c r="D6" s="2" t="s">
        <v>31</v>
      </c>
      <c r="E6" s="2" t="s">
        <v>482</v>
      </c>
      <c r="F6" s="4" t="s">
        <v>487</v>
      </c>
      <c r="G6" s="2" t="s">
        <v>487</v>
      </c>
      <c r="H6" s="25">
        <v>5.2</v>
      </c>
      <c r="I6" s="25">
        <v>5.6353999999999997</v>
      </c>
      <c r="J6" s="29">
        <v>0.43540000000000001</v>
      </c>
      <c r="K6" s="24">
        <v>8.3699999999999997E-2</v>
      </c>
      <c r="L6" s="20" t="s">
        <v>478</v>
      </c>
      <c r="M6" s="2" t="s">
        <v>59</v>
      </c>
      <c r="N6" s="2" t="s">
        <v>488</v>
      </c>
      <c r="O6" s="4" t="s">
        <v>480</v>
      </c>
    </row>
    <row r="7" spans="1:15" x14ac:dyDescent="0.35">
      <c r="A7" s="11" t="s">
        <v>489</v>
      </c>
      <c r="B7" s="12">
        <v>45181</v>
      </c>
      <c r="C7" s="11" t="s">
        <v>135</v>
      </c>
      <c r="D7" s="11" t="s">
        <v>51</v>
      </c>
      <c r="E7" s="11" t="s">
        <v>490</v>
      </c>
      <c r="F7" s="13" t="s">
        <v>491</v>
      </c>
      <c r="G7" s="11" t="s">
        <v>492</v>
      </c>
      <c r="H7" s="28">
        <v>3.5</v>
      </c>
      <c r="I7" s="28">
        <v>4.0011000000000001</v>
      </c>
      <c r="J7" s="26">
        <v>0.50109999999999999</v>
      </c>
      <c r="K7" s="27">
        <v>0.14319999999999999</v>
      </c>
      <c r="L7" s="10" t="s">
        <v>474</v>
      </c>
      <c r="M7" s="11" t="s">
        <v>44</v>
      </c>
      <c r="N7" s="11" t="s">
        <v>488</v>
      </c>
      <c r="O7" s="13"/>
    </row>
    <row r="8" spans="1:15" x14ac:dyDescent="0.35">
      <c r="A8" s="2" t="s">
        <v>493</v>
      </c>
      <c r="B8" s="3">
        <v>45291</v>
      </c>
      <c r="C8" s="2" t="s">
        <v>405</v>
      </c>
      <c r="D8" s="2" t="s">
        <v>97</v>
      </c>
      <c r="E8" s="2" t="s">
        <v>494</v>
      </c>
      <c r="F8" s="4" t="s">
        <v>491</v>
      </c>
      <c r="G8" s="2" t="s">
        <v>492</v>
      </c>
      <c r="H8" s="25">
        <v>3.5</v>
      </c>
      <c r="I8" s="25">
        <v>2.3068</v>
      </c>
      <c r="J8" s="29">
        <v>-1.1932</v>
      </c>
      <c r="K8" s="24">
        <v>-0.34089999999999998</v>
      </c>
      <c r="L8" s="20" t="s">
        <v>478</v>
      </c>
      <c r="M8" s="2" t="s">
        <v>44</v>
      </c>
      <c r="N8" s="2" t="s">
        <v>488</v>
      </c>
      <c r="O8" s="4" t="s">
        <v>480</v>
      </c>
    </row>
    <row r="9" spans="1:15" x14ac:dyDescent="0.35">
      <c r="A9" s="11" t="s">
        <v>495</v>
      </c>
      <c r="B9" s="12">
        <v>44948</v>
      </c>
      <c r="C9" s="11" t="s">
        <v>389</v>
      </c>
      <c r="D9" s="11" t="s">
        <v>97</v>
      </c>
      <c r="E9" s="11" t="s">
        <v>494</v>
      </c>
      <c r="F9" s="13" t="s">
        <v>484</v>
      </c>
      <c r="G9" s="11" t="s">
        <v>485</v>
      </c>
      <c r="H9" s="28">
        <v>50</v>
      </c>
      <c r="I9" s="28">
        <v>23.176400000000001</v>
      </c>
      <c r="J9" s="29">
        <v>-26.823599999999999</v>
      </c>
      <c r="K9" s="24">
        <v>-0.53649999999999998</v>
      </c>
      <c r="L9" s="20" t="s">
        <v>478</v>
      </c>
      <c r="M9" s="11" t="s">
        <v>26</v>
      </c>
      <c r="N9" s="11" t="s">
        <v>479</v>
      </c>
      <c r="O9" s="13" t="s">
        <v>480</v>
      </c>
    </row>
    <row r="10" spans="1:15" x14ac:dyDescent="0.35">
      <c r="A10" s="2" t="s">
        <v>496</v>
      </c>
      <c r="B10" s="3">
        <v>45174</v>
      </c>
      <c r="C10" s="2" t="s">
        <v>389</v>
      </c>
      <c r="D10" s="2" t="s">
        <v>51</v>
      </c>
      <c r="E10" s="2" t="s">
        <v>471</v>
      </c>
      <c r="F10" s="4" t="s">
        <v>497</v>
      </c>
      <c r="G10" s="2" t="s">
        <v>498</v>
      </c>
      <c r="H10" s="25">
        <v>0.89200000000000002</v>
      </c>
      <c r="I10" s="25">
        <v>0.88080000000000003</v>
      </c>
      <c r="J10" s="29">
        <v>-1.12E-2</v>
      </c>
      <c r="K10" s="24">
        <v>-1.26E-2</v>
      </c>
      <c r="L10" s="20" t="s">
        <v>478</v>
      </c>
      <c r="M10" s="2" t="s">
        <v>44</v>
      </c>
      <c r="N10" s="2" t="s">
        <v>499</v>
      </c>
      <c r="O10" s="4" t="s">
        <v>500</v>
      </c>
    </row>
    <row r="11" spans="1:15" x14ac:dyDescent="0.35">
      <c r="A11" s="11" t="s">
        <v>501</v>
      </c>
      <c r="B11" s="12">
        <v>45020</v>
      </c>
      <c r="C11" s="11" t="s">
        <v>313</v>
      </c>
      <c r="D11" s="11" t="s">
        <v>51</v>
      </c>
      <c r="E11" s="11" t="s">
        <v>482</v>
      </c>
      <c r="F11" s="13" t="s">
        <v>502</v>
      </c>
      <c r="G11" s="11" t="s">
        <v>503</v>
      </c>
      <c r="H11" s="28">
        <v>0.5</v>
      </c>
      <c r="I11" s="28">
        <v>0.57550000000000001</v>
      </c>
      <c r="J11" s="26">
        <v>7.5499999999999998E-2</v>
      </c>
      <c r="K11" s="27">
        <v>0.151</v>
      </c>
      <c r="L11" s="10" t="s">
        <v>474</v>
      </c>
      <c r="M11" s="11" t="s">
        <v>33</v>
      </c>
      <c r="N11" s="11" t="s">
        <v>499</v>
      </c>
      <c r="O11" s="13"/>
    </row>
    <row r="12" spans="1:15" x14ac:dyDescent="0.35">
      <c r="A12" s="2" t="s">
        <v>504</v>
      </c>
      <c r="B12" s="3">
        <v>45249</v>
      </c>
      <c r="C12" s="2" t="s">
        <v>439</v>
      </c>
      <c r="D12" s="2" t="s">
        <v>31</v>
      </c>
      <c r="E12" s="2" t="s">
        <v>490</v>
      </c>
      <c r="F12" s="4" t="s">
        <v>484</v>
      </c>
      <c r="G12" s="2" t="s">
        <v>485</v>
      </c>
      <c r="H12" s="25">
        <v>50</v>
      </c>
      <c r="I12" s="25">
        <v>41.257899999999999</v>
      </c>
      <c r="J12" s="26">
        <v>-8.7421000000000006</v>
      </c>
      <c r="K12" s="27">
        <v>-0.17480000000000001</v>
      </c>
      <c r="L12" s="10" t="s">
        <v>474</v>
      </c>
      <c r="M12" s="2" t="s">
        <v>26</v>
      </c>
      <c r="N12" s="2" t="s">
        <v>488</v>
      </c>
      <c r="O12" s="4"/>
    </row>
    <row r="13" spans="1:15" x14ac:dyDescent="0.35">
      <c r="A13" s="11" t="s">
        <v>505</v>
      </c>
      <c r="B13" s="12">
        <v>45017</v>
      </c>
      <c r="C13" s="11" t="s">
        <v>208</v>
      </c>
      <c r="D13" s="11" t="s">
        <v>31</v>
      </c>
      <c r="E13" s="11" t="s">
        <v>494</v>
      </c>
      <c r="F13" s="13" t="s">
        <v>487</v>
      </c>
      <c r="G13" s="11" t="s">
        <v>487</v>
      </c>
      <c r="H13" s="28">
        <v>5.2</v>
      </c>
      <c r="I13" s="28">
        <v>5.1593</v>
      </c>
      <c r="J13" s="26">
        <v>-4.07E-2</v>
      </c>
      <c r="K13" s="27">
        <v>-7.7999999999999996E-3</v>
      </c>
      <c r="L13" s="10" t="s">
        <v>474</v>
      </c>
      <c r="M13" s="11" t="s">
        <v>33</v>
      </c>
      <c r="N13" s="11" t="s">
        <v>475</v>
      </c>
      <c r="O13" s="13"/>
    </row>
    <row r="14" spans="1:15" x14ac:dyDescent="0.35">
      <c r="A14" s="2" t="s">
        <v>506</v>
      </c>
      <c r="B14" s="3">
        <v>45136</v>
      </c>
      <c r="C14" s="2" t="s">
        <v>162</v>
      </c>
      <c r="D14" s="2" t="s">
        <v>23</v>
      </c>
      <c r="E14" s="2" t="s">
        <v>482</v>
      </c>
      <c r="F14" s="4" t="s">
        <v>472</v>
      </c>
      <c r="G14" s="2" t="s">
        <v>473</v>
      </c>
      <c r="H14" s="25">
        <v>0.08</v>
      </c>
      <c r="I14" s="25">
        <v>9.6799999999999997E-2</v>
      </c>
      <c r="J14" s="26">
        <v>1.6799999999999999E-2</v>
      </c>
      <c r="K14" s="27">
        <v>0.21</v>
      </c>
      <c r="L14" s="10" t="s">
        <v>474</v>
      </c>
      <c r="M14" s="2" t="s">
        <v>59</v>
      </c>
      <c r="N14" s="2" t="s">
        <v>488</v>
      </c>
      <c r="O14" s="4"/>
    </row>
    <row r="15" spans="1:15" x14ac:dyDescent="0.35">
      <c r="A15" s="11" t="s">
        <v>507</v>
      </c>
      <c r="B15" s="12">
        <v>45007</v>
      </c>
      <c r="C15" s="11" t="s">
        <v>158</v>
      </c>
      <c r="D15" s="11" t="s">
        <v>97</v>
      </c>
      <c r="E15" s="11" t="s">
        <v>494</v>
      </c>
      <c r="F15" s="13" t="s">
        <v>508</v>
      </c>
      <c r="G15" s="11" t="s">
        <v>485</v>
      </c>
      <c r="H15" s="28">
        <v>180</v>
      </c>
      <c r="I15" s="28">
        <v>178.65379999999999</v>
      </c>
      <c r="J15" s="26">
        <v>-1.3462000000000001</v>
      </c>
      <c r="K15" s="27">
        <v>-7.4999999999999997E-3</v>
      </c>
      <c r="L15" s="10" t="s">
        <v>474</v>
      </c>
      <c r="M15" s="11" t="s">
        <v>55</v>
      </c>
      <c r="N15" s="11" t="s">
        <v>499</v>
      </c>
      <c r="O15" s="13"/>
    </row>
    <row r="16" spans="1:15" x14ac:dyDescent="0.35">
      <c r="A16" s="2" t="s">
        <v>509</v>
      </c>
      <c r="B16" s="3">
        <v>44951</v>
      </c>
      <c r="C16" s="2" t="s">
        <v>453</v>
      </c>
      <c r="D16" s="2" t="s">
        <v>97</v>
      </c>
      <c r="E16" s="2" t="s">
        <v>490</v>
      </c>
      <c r="F16" s="4" t="s">
        <v>508</v>
      </c>
      <c r="G16" s="2" t="s">
        <v>485</v>
      </c>
      <c r="H16" s="25">
        <v>180</v>
      </c>
      <c r="I16" s="25">
        <v>176.2765</v>
      </c>
      <c r="J16" s="26">
        <v>-3.7235</v>
      </c>
      <c r="K16" s="27">
        <v>-2.07E-2</v>
      </c>
      <c r="L16" s="10" t="s">
        <v>474</v>
      </c>
      <c r="M16" s="2" t="s">
        <v>26</v>
      </c>
      <c r="N16" s="2" t="s">
        <v>499</v>
      </c>
      <c r="O16" s="4"/>
    </row>
    <row r="17" spans="1:15" x14ac:dyDescent="0.35">
      <c r="A17" s="11" t="s">
        <v>510</v>
      </c>
      <c r="B17" s="12">
        <v>44965</v>
      </c>
      <c r="C17" s="11" t="s">
        <v>273</v>
      </c>
      <c r="D17" s="11" t="s">
        <v>23</v>
      </c>
      <c r="E17" s="11" t="s">
        <v>477</v>
      </c>
      <c r="F17" s="13" t="s">
        <v>508</v>
      </c>
      <c r="G17" s="11" t="s">
        <v>485</v>
      </c>
      <c r="H17" s="28">
        <v>180</v>
      </c>
      <c r="I17" s="28">
        <v>168.8887</v>
      </c>
      <c r="J17" s="26">
        <v>-11.1113</v>
      </c>
      <c r="K17" s="27">
        <v>-6.1699999999999998E-2</v>
      </c>
      <c r="L17" s="10" t="s">
        <v>474</v>
      </c>
      <c r="M17" s="11" t="s">
        <v>33</v>
      </c>
      <c r="N17" s="11" t="s">
        <v>479</v>
      </c>
      <c r="O17" s="13"/>
    </row>
    <row r="18" spans="1:15" x14ac:dyDescent="0.35">
      <c r="A18" s="2" t="s">
        <v>511</v>
      </c>
      <c r="B18" s="3">
        <v>45156</v>
      </c>
      <c r="C18" s="2" t="s">
        <v>154</v>
      </c>
      <c r="D18" s="2" t="s">
        <v>23</v>
      </c>
      <c r="E18" s="2" t="s">
        <v>471</v>
      </c>
      <c r="F18" s="4" t="s">
        <v>502</v>
      </c>
      <c r="G18" s="2" t="s">
        <v>503</v>
      </c>
      <c r="H18" s="25">
        <v>0.5</v>
      </c>
      <c r="I18" s="25">
        <v>0.43690000000000001</v>
      </c>
      <c r="J18" s="26">
        <v>-6.3100000000000003E-2</v>
      </c>
      <c r="K18" s="27">
        <v>-0.12620000000000001</v>
      </c>
      <c r="L18" s="10" t="s">
        <v>474</v>
      </c>
      <c r="M18" s="2" t="s">
        <v>26</v>
      </c>
      <c r="N18" s="2" t="s">
        <v>488</v>
      </c>
      <c r="O18" s="4"/>
    </row>
    <row r="19" spans="1:15" x14ac:dyDescent="0.35">
      <c r="A19" s="11" t="s">
        <v>512</v>
      </c>
      <c r="B19" s="12">
        <v>45064</v>
      </c>
      <c r="C19" s="11" t="s">
        <v>307</v>
      </c>
      <c r="D19" s="11" t="s">
        <v>31</v>
      </c>
      <c r="E19" s="11" t="s">
        <v>471</v>
      </c>
      <c r="F19" s="13" t="s">
        <v>508</v>
      </c>
      <c r="G19" s="11" t="s">
        <v>485</v>
      </c>
      <c r="H19" s="28">
        <v>180</v>
      </c>
      <c r="I19" s="28">
        <v>260.762</v>
      </c>
      <c r="J19" s="29">
        <v>80.762</v>
      </c>
      <c r="K19" s="24">
        <v>0.44869999999999999</v>
      </c>
      <c r="L19" s="20" t="s">
        <v>478</v>
      </c>
      <c r="M19" s="11" t="s">
        <v>44</v>
      </c>
      <c r="N19" s="11" t="s">
        <v>488</v>
      </c>
      <c r="O19" s="13" t="s">
        <v>480</v>
      </c>
    </row>
    <row r="20" spans="1:15" x14ac:dyDescent="0.35">
      <c r="A20" s="2" t="s">
        <v>513</v>
      </c>
      <c r="B20" s="3">
        <v>45048</v>
      </c>
      <c r="C20" s="2" t="s">
        <v>160</v>
      </c>
      <c r="D20" s="2" t="s">
        <v>51</v>
      </c>
      <c r="E20" s="2" t="s">
        <v>471</v>
      </c>
      <c r="F20" s="4" t="s">
        <v>484</v>
      </c>
      <c r="G20" s="2" t="s">
        <v>485</v>
      </c>
      <c r="H20" s="25">
        <v>50</v>
      </c>
      <c r="I20" s="25">
        <v>56.906599999999997</v>
      </c>
      <c r="J20" s="26">
        <v>6.9066000000000001</v>
      </c>
      <c r="K20" s="27">
        <v>0.1381</v>
      </c>
      <c r="L20" s="10" t="s">
        <v>474</v>
      </c>
      <c r="M20" s="2" t="s">
        <v>26</v>
      </c>
      <c r="N20" s="2" t="s">
        <v>499</v>
      </c>
      <c r="O20" s="4"/>
    </row>
    <row r="21" spans="1:15" x14ac:dyDescent="0.35">
      <c r="A21" s="11" t="s">
        <v>514</v>
      </c>
      <c r="B21" s="12">
        <v>45134</v>
      </c>
      <c r="C21" s="11" t="s">
        <v>198</v>
      </c>
      <c r="D21" s="11" t="s">
        <v>97</v>
      </c>
      <c r="E21" s="11" t="s">
        <v>494</v>
      </c>
      <c r="F21" s="13" t="s">
        <v>487</v>
      </c>
      <c r="G21" s="11" t="s">
        <v>487</v>
      </c>
      <c r="H21" s="28">
        <v>5.2</v>
      </c>
      <c r="I21" s="28">
        <v>5.0084</v>
      </c>
      <c r="J21" s="26">
        <v>-0.19159999999999999</v>
      </c>
      <c r="K21" s="27">
        <v>-3.6799999999999999E-2</v>
      </c>
      <c r="L21" s="10" t="s">
        <v>474</v>
      </c>
      <c r="M21" s="11" t="s">
        <v>59</v>
      </c>
      <c r="N21" s="11" t="s">
        <v>475</v>
      </c>
      <c r="O21" s="13"/>
    </row>
    <row r="22" spans="1:15" x14ac:dyDescent="0.35">
      <c r="A22" s="2" t="s">
        <v>515</v>
      </c>
      <c r="B22" s="3">
        <v>45031</v>
      </c>
      <c r="C22" s="2" t="s">
        <v>453</v>
      </c>
      <c r="D22" s="2" t="s">
        <v>42</v>
      </c>
      <c r="E22" s="2" t="s">
        <v>471</v>
      </c>
      <c r="F22" s="4" t="s">
        <v>487</v>
      </c>
      <c r="G22" s="2" t="s">
        <v>487</v>
      </c>
      <c r="H22" s="25">
        <v>5.2</v>
      </c>
      <c r="I22" s="25">
        <v>5.07</v>
      </c>
      <c r="J22" s="26">
        <v>-0.13</v>
      </c>
      <c r="K22" s="27">
        <v>-2.5000000000000001E-2</v>
      </c>
      <c r="L22" s="10" t="s">
        <v>474</v>
      </c>
      <c r="M22" s="2" t="s">
        <v>55</v>
      </c>
      <c r="N22" s="2" t="s">
        <v>479</v>
      </c>
      <c r="O22" s="4"/>
    </row>
    <row r="23" spans="1:15" x14ac:dyDescent="0.35">
      <c r="A23" s="11" t="s">
        <v>516</v>
      </c>
      <c r="B23" s="12">
        <v>45044</v>
      </c>
      <c r="C23" s="11" t="s">
        <v>259</v>
      </c>
      <c r="D23" s="11" t="s">
        <v>23</v>
      </c>
      <c r="E23" s="11" t="s">
        <v>494</v>
      </c>
      <c r="F23" s="13" t="s">
        <v>491</v>
      </c>
      <c r="G23" s="11" t="s">
        <v>492</v>
      </c>
      <c r="H23" s="28">
        <v>3.5</v>
      </c>
      <c r="I23" s="28">
        <v>2.2204000000000002</v>
      </c>
      <c r="J23" s="29">
        <v>-1.2796000000000001</v>
      </c>
      <c r="K23" s="24">
        <v>-0.36559999999999998</v>
      </c>
      <c r="L23" s="20" t="s">
        <v>478</v>
      </c>
      <c r="M23" s="11" t="s">
        <v>26</v>
      </c>
      <c r="N23" s="11" t="s">
        <v>488</v>
      </c>
      <c r="O23" s="13" t="s">
        <v>480</v>
      </c>
    </row>
    <row r="24" spans="1:15" x14ac:dyDescent="0.35">
      <c r="A24" s="2" t="s">
        <v>517</v>
      </c>
      <c r="B24" s="3">
        <v>45199</v>
      </c>
      <c r="C24" s="2" t="s">
        <v>234</v>
      </c>
      <c r="D24" s="2" t="s">
        <v>23</v>
      </c>
      <c r="E24" s="2" t="s">
        <v>482</v>
      </c>
      <c r="F24" s="4" t="s">
        <v>472</v>
      </c>
      <c r="G24" s="2" t="s">
        <v>473</v>
      </c>
      <c r="H24" s="25">
        <v>0.08</v>
      </c>
      <c r="I24" s="25">
        <v>7.3700000000000002E-2</v>
      </c>
      <c r="J24" s="26">
        <v>-6.3E-3</v>
      </c>
      <c r="K24" s="27">
        <v>-7.8799999999999995E-2</v>
      </c>
      <c r="L24" s="10" t="s">
        <v>474</v>
      </c>
      <c r="M24" s="2" t="s">
        <v>44</v>
      </c>
      <c r="N24" s="2" t="s">
        <v>475</v>
      </c>
      <c r="O24" s="4"/>
    </row>
    <row r="25" spans="1:15" x14ac:dyDescent="0.35">
      <c r="A25" s="11" t="s">
        <v>518</v>
      </c>
      <c r="B25" s="12">
        <v>45077</v>
      </c>
      <c r="C25" s="11" t="s">
        <v>152</v>
      </c>
      <c r="D25" s="11" t="s">
        <v>31</v>
      </c>
      <c r="E25" s="11" t="s">
        <v>471</v>
      </c>
      <c r="F25" s="13" t="s">
        <v>491</v>
      </c>
      <c r="G25" s="11" t="s">
        <v>492</v>
      </c>
      <c r="H25" s="28">
        <v>3.5</v>
      </c>
      <c r="I25" s="28">
        <v>3.5754999999999999</v>
      </c>
      <c r="J25" s="26">
        <v>7.5499999999999998E-2</v>
      </c>
      <c r="K25" s="27">
        <v>2.1600000000000001E-2</v>
      </c>
      <c r="L25" s="10" t="s">
        <v>474</v>
      </c>
      <c r="M25" s="11" t="s">
        <v>55</v>
      </c>
      <c r="N25" s="11" t="s">
        <v>488</v>
      </c>
      <c r="O25" s="13"/>
    </row>
    <row r="26" spans="1:15" x14ac:dyDescent="0.35">
      <c r="A26" s="2" t="s">
        <v>519</v>
      </c>
      <c r="B26" s="3">
        <v>45150</v>
      </c>
      <c r="C26" s="2" t="s">
        <v>357</v>
      </c>
      <c r="D26" s="2" t="s">
        <v>97</v>
      </c>
      <c r="E26" s="2" t="s">
        <v>471</v>
      </c>
      <c r="F26" s="4" t="s">
        <v>502</v>
      </c>
      <c r="G26" s="2" t="s">
        <v>503</v>
      </c>
      <c r="H26" s="25">
        <v>0.5</v>
      </c>
      <c r="I26" s="25">
        <v>3.7400000000000003E-2</v>
      </c>
      <c r="J26" s="29">
        <v>-0.46260000000000001</v>
      </c>
      <c r="K26" s="24">
        <v>-0.92520000000000002</v>
      </c>
      <c r="L26" s="20" t="s">
        <v>478</v>
      </c>
      <c r="M26" s="2" t="s">
        <v>44</v>
      </c>
      <c r="N26" s="2" t="s">
        <v>499</v>
      </c>
      <c r="O26" s="4" t="s">
        <v>480</v>
      </c>
    </row>
    <row r="27" spans="1:15" x14ac:dyDescent="0.35">
      <c r="A27" s="11" t="s">
        <v>520</v>
      </c>
      <c r="B27" s="12">
        <v>45235</v>
      </c>
      <c r="C27" s="11" t="s">
        <v>210</v>
      </c>
      <c r="D27" s="11" t="s">
        <v>31</v>
      </c>
      <c r="E27" s="11" t="s">
        <v>490</v>
      </c>
      <c r="F27" s="13" t="s">
        <v>472</v>
      </c>
      <c r="G27" s="11" t="s">
        <v>473</v>
      </c>
      <c r="H27" s="28">
        <v>0.08</v>
      </c>
      <c r="I27" s="28">
        <v>9.5000000000000001E-2</v>
      </c>
      <c r="J27" s="26">
        <v>1.4999999999999999E-2</v>
      </c>
      <c r="K27" s="27">
        <v>0.1875</v>
      </c>
      <c r="L27" s="10" t="s">
        <v>474</v>
      </c>
      <c r="M27" s="11" t="s">
        <v>33</v>
      </c>
      <c r="N27" s="11" t="s">
        <v>488</v>
      </c>
      <c r="O27" s="13"/>
    </row>
    <row r="28" spans="1:15" x14ac:dyDescent="0.35">
      <c r="A28" s="2" t="s">
        <v>521</v>
      </c>
      <c r="B28" s="3">
        <v>45266</v>
      </c>
      <c r="C28" s="2" t="s">
        <v>141</v>
      </c>
      <c r="D28" s="2" t="s">
        <v>23</v>
      </c>
      <c r="E28" s="2" t="s">
        <v>490</v>
      </c>
      <c r="F28" s="4" t="s">
        <v>522</v>
      </c>
      <c r="G28" s="2" t="s">
        <v>523</v>
      </c>
      <c r="H28" s="25">
        <v>65</v>
      </c>
      <c r="I28" s="25">
        <v>64.328000000000003</v>
      </c>
      <c r="J28" s="26">
        <v>-0.67200000000000004</v>
      </c>
      <c r="K28" s="27">
        <v>-1.03E-2</v>
      </c>
      <c r="L28" s="10" t="s">
        <v>474</v>
      </c>
      <c r="M28" s="2" t="s">
        <v>33</v>
      </c>
      <c r="N28" s="2" t="s">
        <v>479</v>
      </c>
      <c r="O28" s="4"/>
    </row>
    <row r="29" spans="1:15" x14ac:dyDescent="0.35">
      <c r="A29" s="11" t="s">
        <v>524</v>
      </c>
      <c r="B29" s="12">
        <v>45246</v>
      </c>
      <c r="C29" s="11" t="s">
        <v>433</v>
      </c>
      <c r="D29" s="11" t="s">
        <v>42</v>
      </c>
      <c r="E29" s="11" t="s">
        <v>482</v>
      </c>
      <c r="F29" s="13" t="s">
        <v>472</v>
      </c>
      <c r="G29" s="11" t="s">
        <v>473</v>
      </c>
      <c r="H29" s="28">
        <v>0.08</v>
      </c>
      <c r="I29" s="28">
        <v>6.2199999999999998E-2</v>
      </c>
      <c r="J29" s="26">
        <v>-1.78E-2</v>
      </c>
      <c r="K29" s="27">
        <v>-0.2225</v>
      </c>
      <c r="L29" s="10" t="s">
        <v>474</v>
      </c>
      <c r="M29" s="11" t="s">
        <v>55</v>
      </c>
      <c r="N29" s="11" t="s">
        <v>488</v>
      </c>
      <c r="O29" s="13"/>
    </row>
    <row r="30" spans="1:15" x14ac:dyDescent="0.35">
      <c r="A30" s="2" t="s">
        <v>525</v>
      </c>
      <c r="B30" s="3">
        <v>45107</v>
      </c>
      <c r="C30" s="2" t="s">
        <v>335</v>
      </c>
      <c r="D30" s="2" t="s">
        <v>97</v>
      </c>
      <c r="E30" s="2" t="s">
        <v>490</v>
      </c>
      <c r="F30" s="4" t="s">
        <v>522</v>
      </c>
      <c r="G30" s="2" t="s">
        <v>523</v>
      </c>
      <c r="H30" s="25">
        <v>65</v>
      </c>
      <c r="I30" s="25">
        <v>64.393299999999996</v>
      </c>
      <c r="J30" s="26">
        <v>-0.60670000000000002</v>
      </c>
      <c r="K30" s="27">
        <v>-9.2999999999999992E-3</v>
      </c>
      <c r="L30" s="10" t="s">
        <v>474</v>
      </c>
      <c r="M30" s="2" t="s">
        <v>44</v>
      </c>
      <c r="N30" s="2" t="s">
        <v>499</v>
      </c>
      <c r="O30" s="4"/>
    </row>
    <row r="31" spans="1:15" x14ac:dyDescent="0.35">
      <c r="A31" s="11" t="s">
        <v>526</v>
      </c>
      <c r="B31" s="12">
        <v>45028</v>
      </c>
      <c r="C31" s="11" t="s">
        <v>119</v>
      </c>
      <c r="D31" s="11" t="s">
        <v>31</v>
      </c>
      <c r="E31" s="11" t="s">
        <v>482</v>
      </c>
      <c r="F31" s="13" t="s">
        <v>484</v>
      </c>
      <c r="G31" s="11" t="s">
        <v>485</v>
      </c>
      <c r="H31" s="28">
        <v>50</v>
      </c>
      <c r="I31" s="28">
        <v>53.825899999999997</v>
      </c>
      <c r="J31" s="26">
        <v>3.8258999999999999</v>
      </c>
      <c r="K31" s="27">
        <v>7.6499999999999999E-2</v>
      </c>
      <c r="L31" s="10" t="s">
        <v>474</v>
      </c>
      <c r="M31" s="11" t="s">
        <v>44</v>
      </c>
      <c r="N31" s="11" t="s">
        <v>499</v>
      </c>
      <c r="O31" s="13"/>
    </row>
    <row r="32" spans="1:15" x14ac:dyDescent="0.35">
      <c r="A32" s="2" t="s">
        <v>527</v>
      </c>
      <c r="B32" s="3">
        <v>45072</v>
      </c>
      <c r="C32" s="2" t="s">
        <v>393</v>
      </c>
      <c r="D32" s="2" t="s">
        <v>42</v>
      </c>
      <c r="E32" s="2" t="s">
        <v>482</v>
      </c>
      <c r="F32" s="4" t="s">
        <v>508</v>
      </c>
      <c r="G32" s="2" t="s">
        <v>485</v>
      </c>
      <c r="H32" s="25">
        <v>180</v>
      </c>
      <c r="I32" s="25">
        <v>174.27250000000001</v>
      </c>
      <c r="J32" s="26">
        <v>-5.7275</v>
      </c>
      <c r="K32" s="27">
        <v>-3.1800000000000002E-2</v>
      </c>
      <c r="L32" s="10" t="s">
        <v>474</v>
      </c>
      <c r="M32" s="2" t="s">
        <v>33</v>
      </c>
      <c r="N32" s="2" t="s">
        <v>475</v>
      </c>
      <c r="O32" s="4"/>
    </row>
    <row r="33" spans="1:15" x14ac:dyDescent="0.35">
      <c r="A33" s="11" t="s">
        <v>528</v>
      </c>
      <c r="B33" s="12">
        <v>45068</v>
      </c>
      <c r="C33" s="11" t="s">
        <v>85</v>
      </c>
      <c r="D33" s="11" t="s">
        <v>51</v>
      </c>
      <c r="E33" s="11" t="s">
        <v>471</v>
      </c>
      <c r="F33" s="13" t="s">
        <v>472</v>
      </c>
      <c r="G33" s="11" t="s">
        <v>473</v>
      </c>
      <c r="H33" s="28">
        <v>0.08</v>
      </c>
      <c r="I33" s="28">
        <v>0.1401</v>
      </c>
      <c r="J33" s="29">
        <v>6.0100000000000001E-2</v>
      </c>
      <c r="K33" s="24">
        <v>0.75119999999999998</v>
      </c>
      <c r="L33" s="20" t="s">
        <v>478</v>
      </c>
      <c r="M33" s="11" t="s">
        <v>44</v>
      </c>
      <c r="N33" s="11" t="s">
        <v>475</v>
      </c>
      <c r="O33" s="13" t="s">
        <v>480</v>
      </c>
    </row>
    <row r="34" spans="1:15" x14ac:dyDescent="0.35">
      <c r="A34" s="2" t="s">
        <v>529</v>
      </c>
      <c r="B34" s="3">
        <v>45120</v>
      </c>
      <c r="C34" s="2" t="s">
        <v>347</v>
      </c>
      <c r="D34" s="2" t="s">
        <v>23</v>
      </c>
      <c r="E34" s="2" t="s">
        <v>490</v>
      </c>
      <c r="F34" s="4" t="s">
        <v>472</v>
      </c>
      <c r="G34" s="2" t="s">
        <v>473</v>
      </c>
      <c r="H34" s="25">
        <v>0.08</v>
      </c>
      <c r="I34" s="25">
        <v>7.3599999999999999E-2</v>
      </c>
      <c r="J34" s="26">
        <v>-6.4000000000000003E-3</v>
      </c>
      <c r="K34" s="27">
        <v>-0.08</v>
      </c>
      <c r="L34" s="10" t="s">
        <v>474</v>
      </c>
      <c r="M34" s="2" t="s">
        <v>59</v>
      </c>
      <c r="N34" s="2" t="s">
        <v>499</v>
      </c>
      <c r="O34" s="4"/>
    </row>
    <row r="35" spans="1:15" x14ac:dyDescent="0.35">
      <c r="A35" s="11" t="s">
        <v>530</v>
      </c>
      <c r="B35" s="12">
        <v>45035</v>
      </c>
      <c r="C35" s="11" t="s">
        <v>307</v>
      </c>
      <c r="D35" s="11" t="s">
        <v>97</v>
      </c>
      <c r="E35" s="11" t="s">
        <v>490</v>
      </c>
      <c r="F35" s="13" t="s">
        <v>491</v>
      </c>
      <c r="G35" s="11" t="s">
        <v>492</v>
      </c>
      <c r="H35" s="28">
        <v>3.5</v>
      </c>
      <c r="I35" s="28">
        <v>1.5005999999999999</v>
      </c>
      <c r="J35" s="29">
        <v>-1.9994000000000001</v>
      </c>
      <c r="K35" s="24">
        <v>-0.57130000000000003</v>
      </c>
      <c r="L35" s="20" t="s">
        <v>478</v>
      </c>
      <c r="M35" s="11" t="s">
        <v>33</v>
      </c>
      <c r="N35" s="11" t="s">
        <v>479</v>
      </c>
      <c r="O35" s="13" t="s">
        <v>480</v>
      </c>
    </row>
    <row r="36" spans="1:15" x14ac:dyDescent="0.35">
      <c r="A36" s="2" t="s">
        <v>531</v>
      </c>
      <c r="B36" s="3">
        <v>44952</v>
      </c>
      <c r="C36" s="2" t="s">
        <v>196</v>
      </c>
      <c r="D36" s="2" t="s">
        <v>97</v>
      </c>
      <c r="E36" s="2" t="s">
        <v>477</v>
      </c>
      <c r="F36" s="4" t="s">
        <v>484</v>
      </c>
      <c r="G36" s="2" t="s">
        <v>485</v>
      </c>
      <c r="H36" s="25">
        <v>50</v>
      </c>
      <c r="I36" s="25">
        <v>41.076999999999998</v>
      </c>
      <c r="J36" s="26">
        <v>-8.923</v>
      </c>
      <c r="K36" s="27">
        <v>-0.17849999999999999</v>
      </c>
      <c r="L36" s="10" t="s">
        <v>474</v>
      </c>
      <c r="M36" s="2" t="s">
        <v>26</v>
      </c>
      <c r="N36" s="2" t="s">
        <v>475</v>
      </c>
      <c r="O36" s="4"/>
    </row>
    <row r="37" spans="1:15" x14ac:dyDescent="0.35">
      <c r="A37" s="11" t="s">
        <v>532</v>
      </c>
      <c r="B37" s="12">
        <v>45034</v>
      </c>
      <c r="C37" s="11" t="s">
        <v>133</v>
      </c>
      <c r="D37" s="11" t="s">
        <v>97</v>
      </c>
      <c r="E37" s="11" t="s">
        <v>490</v>
      </c>
      <c r="F37" s="13" t="s">
        <v>487</v>
      </c>
      <c r="G37" s="11" t="s">
        <v>487</v>
      </c>
      <c r="H37" s="28">
        <v>5.2</v>
      </c>
      <c r="I37" s="28">
        <v>5.2294999999999998</v>
      </c>
      <c r="J37" s="26">
        <v>2.9499999999999998E-2</v>
      </c>
      <c r="K37" s="27">
        <v>5.7000000000000002E-3</v>
      </c>
      <c r="L37" s="10" t="s">
        <v>474</v>
      </c>
      <c r="M37" s="11" t="s">
        <v>59</v>
      </c>
      <c r="N37" s="11" t="s">
        <v>488</v>
      </c>
      <c r="O37" s="13"/>
    </row>
    <row r="38" spans="1:15" x14ac:dyDescent="0.35">
      <c r="A38" s="2" t="s">
        <v>533</v>
      </c>
      <c r="B38" s="3">
        <v>44947</v>
      </c>
      <c r="C38" s="2" t="s">
        <v>287</v>
      </c>
      <c r="D38" s="2" t="s">
        <v>51</v>
      </c>
      <c r="E38" s="2" t="s">
        <v>477</v>
      </c>
      <c r="F38" s="4" t="s">
        <v>491</v>
      </c>
      <c r="G38" s="2" t="s">
        <v>492</v>
      </c>
      <c r="H38" s="25">
        <v>3.5</v>
      </c>
      <c r="I38" s="25">
        <v>3.7446000000000002</v>
      </c>
      <c r="J38" s="26">
        <v>0.24460000000000001</v>
      </c>
      <c r="K38" s="27">
        <v>6.9900000000000004E-2</v>
      </c>
      <c r="L38" s="10" t="s">
        <v>474</v>
      </c>
      <c r="M38" s="2" t="s">
        <v>59</v>
      </c>
      <c r="N38" s="2" t="s">
        <v>488</v>
      </c>
      <c r="O38" s="4"/>
    </row>
    <row r="39" spans="1:15" x14ac:dyDescent="0.35">
      <c r="A39" s="11" t="s">
        <v>534</v>
      </c>
      <c r="B39" s="12">
        <v>44976</v>
      </c>
      <c r="C39" s="11" t="s">
        <v>188</v>
      </c>
      <c r="D39" s="11" t="s">
        <v>97</v>
      </c>
      <c r="E39" s="11" t="s">
        <v>482</v>
      </c>
      <c r="F39" s="13" t="s">
        <v>472</v>
      </c>
      <c r="G39" s="11" t="s">
        <v>473</v>
      </c>
      <c r="H39" s="28">
        <v>0.08</v>
      </c>
      <c r="I39" s="28">
        <v>9.5600000000000004E-2</v>
      </c>
      <c r="J39" s="26">
        <v>1.5599999999999999E-2</v>
      </c>
      <c r="K39" s="27">
        <v>0.19500000000000001</v>
      </c>
      <c r="L39" s="10" t="s">
        <v>474</v>
      </c>
      <c r="M39" s="11" t="s">
        <v>33</v>
      </c>
      <c r="N39" s="11" t="s">
        <v>475</v>
      </c>
      <c r="O39" s="13"/>
    </row>
    <row r="40" spans="1:15" x14ac:dyDescent="0.35">
      <c r="A40" s="2" t="s">
        <v>535</v>
      </c>
      <c r="B40" s="3">
        <v>45116</v>
      </c>
      <c r="C40" s="2" t="s">
        <v>152</v>
      </c>
      <c r="D40" s="2" t="s">
        <v>97</v>
      </c>
      <c r="E40" s="2" t="s">
        <v>477</v>
      </c>
      <c r="F40" s="4" t="s">
        <v>484</v>
      </c>
      <c r="G40" s="2" t="s">
        <v>485</v>
      </c>
      <c r="H40" s="25">
        <v>50</v>
      </c>
      <c r="I40" s="25">
        <v>41.398200000000003</v>
      </c>
      <c r="J40" s="26">
        <v>-8.6018000000000008</v>
      </c>
      <c r="K40" s="27">
        <v>-0.17199999999999999</v>
      </c>
      <c r="L40" s="10" t="s">
        <v>474</v>
      </c>
      <c r="M40" s="2" t="s">
        <v>55</v>
      </c>
      <c r="N40" s="2" t="s">
        <v>479</v>
      </c>
      <c r="O40" s="4"/>
    </row>
    <row r="41" spans="1:15" x14ac:dyDescent="0.35">
      <c r="A41" s="11" t="s">
        <v>536</v>
      </c>
      <c r="B41" s="12">
        <v>45282</v>
      </c>
      <c r="C41" s="11" t="s">
        <v>115</v>
      </c>
      <c r="D41" s="11" t="s">
        <v>31</v>
      </c>
      <c r="E41" s="11" t="s">
        <v>490</v>
      </c>
      <c r="F41" s="13" t="s">
        <v>497</v>
      </c>
      <c r="G41" s="11" t="s">
        <v>498</v>
      </c>
      <c r="H41" s="28">
        <v>0.89200000000000002</v>
      </c>
      <c r="I41" s="28">
        <v>0.89059999999999995</v>
      </c>
      <c r="J41" s="26">
        <v>-1.4E-3</v>
      </c>
      <c r="K41" s="27">
        <v>-1.6000000000000001E-3</v>
      </c>
      <c r="L41" s="10" t="s">
        <v>474</v>
      </c>
      <c r="M41" s="11" t="s">
        <v>55</v>
      </c>
      <c r="N41" s="11" t="s">
        <v>499</v>
      </c>
      <c r="O41" s="13"/>
    </row>
    <row r="42" spans="1:15" x14ac:dyDescent="0.35">
      <c r="A42" s="2" t="s">
        <v>537</v>
      </c>
      <c r="B42" s="3">
        <v>45082</v>
      </c>
      <c r="C42" s="2" t="s">
        <v>449</v>
      </c>
      <c r="D42" s="2" t="s">
        <v>97</v>
      </c>
      <c r="E42" s="2" t="s">
        <v>494</v>
      </c>
      <c r="F42" s="4" t="s">
        <v>487</v>
      </c>
      <c r="G42" s="2" t="s">
        <v>487</v>
      </c>
      <c r="H42" s="25">
        <v>5.2</v>
      </c>
      <c r="I42" s="25">
        <v>5.2645</v>
      </c>
      <c r="J42" s="26">
        <v>6.4500000000000002E-2</v>
      </c>
      <c r="K42" s="27">
        <v>1.24E-2</v>
      </c>
      <c r="L42" s="10" t="s">
        <v>474</v>
      </c>
      <c r="M42" s="2" t="s">
        <v>33</v>
      </c>
      <c r="N42" s="2" t="s">
        <v>479</v>
      </c>
      <c r="O42" s="4"/>
    </row>
    <row r="43" spans="1:15" x14ac:dyDescent="0.35">
      <c r="A43" s="11" t="s">
        <v>538</v>
      </c>
      <c r="B43" s="12">
        <v>45063</v>
      </c>
      <c r="C43" s="11" t="s">
        <v>107</v>
      </c>
      <c r="D43" s="11" t="s">
        <v>31</v>
      </c>
      <c r="E43" s="11" t="s">
        <v>490</v>
      </c>
      <c r="F43" s="13" t="s">
        <v>508</v>
      </c>
      <c r="G43" s="11" t="s">
        <v>485</v>
      </c>
      <c r="H43" s="28">
        <v>180</v>
      </c>
      <c r="I43" s="28">
        <v>168.01439999999999</v>
      </c>
      <c r="J43" s="26">
        <v>-11.9856</v>
      </c>
      <c r="K43" s="27">
        <v>-6.6600000000000006E-2</v>
      </c>
      <c r="L43" s="10" t="s">
        <v>474</v>
      </c>
      <c r="M43" s="11" t="s">
        <v>55</v>
      </c>
      <c r="N43" s="11" t="s">
        <v>479</v>
      </c>
      <c r="O43" s="13"/>
    </row>
    <row r="44" spans="1:15" x14ac:dyDescent="0.35">
      <c r="A44" s="2" t="s">
        <v>539</v>
      </c>
      <c r="B44" s="3">
        <v>45009</v>
      </c>
      <c r="C44" s="2" t="s">
        <v>425</v>
      </c>
      <c r="D44" s="2" t="s">
        <v>51</v>
      </c>
      <c r="E44" s="2" t="s">
        <v>490</v>
      </c>
      <c r="F44" s="4" t="s">
        <v>522</v>
      </c>
      <c r="G44" s="2" t="s">
        <v>523</v>
      </c>
      <c r="H44" s="25">
        <v>65</v>
      </c>
      <c r="I44" s="25">
        <v>64.271100000000004</v>
      </c>
      <c r="J44" s="26">
        <v>-0.72889999999999999</v>
      </c>
      <c r="K44" s="27">
        <v>-1.12E-2</v>
      </c>
      <c r="L44" s="10" t="s">
        <v>474</v>
      </c>
      <c r="M44" s="2" t="s">
        <v>59</v>
      </c>
      <c r="N44" s="2" t="s">
        <v>488</v>
      </c>
      <c r="O44" s="4"/>
    </row>
    <row r="45" spans="1:15" x14ac:dyDescent="0.35">
      <c r="A45" s="11" t="s">
        <v>540</v>
      </c>
      <c r="B45" s="12">
        <v>44934</v>
      </c>
      <c r="C45" s="11" t="s">
        <v>176</v>
      </c>
      <c r="D45" s="11" t="s">
        <v>97</v>
      </c>
      <c r="E45" s="11" t="s">
        <v>477</v>
      </c>
      <c r="F45" s="13" t="s">
        <v>508</v>
      </c>
      <c r="G45" s="11" t="s">
        <v>485</v>
      </c>
      <c r="H45" s="28">
        <v>180</v>
      </c>
      <c r="I45" s="28">
        <v>270.63279999999997</v>
      </c>
      <c r="J45" s="29">
        <v>90.632800000000003</v>
      </c>
      <c r="K45" s="24">
        <v>0.50349999999999995</v>
      </c>
      <c r="L45" s="20" t="s">
        <v>478</v>
      </c>
      <c r="M45" s="11" t="s">
        <v>26</v>
      </c>
      <c r="N45" s="11" t="s">
        <v>499</v>
      </c>
      <c r="O45" s="13" t="s">
        <v>480</v>
      </c>
    </row>
    <row r="46" spans="1:15" x14ac:dyDescent="0.35">
      <c r="A46" s="2" t="s">
        <v>541</v>
      </c>
      <c r="B46" s="3">
        <v>44960</v>
      </c>
      <c r="C46" s="2" t="s">
        <v>389</v>
      </c>
      <c r="D46" s="2" t="s">
        <v>97</v>
      </c>
      <c r="E46" s="2" t="s">
        <v>477</v>
      </c>
      <c r="F46" s="4" t="s">
        <v>502</v>
      </c>
      <c r="G46" s="2" t="s">
        <v>503</v>
      </c>
      <c r="H46" s="25">
        <v>0.5</v>
      </c>
      <c r="I46" s="25">
        <v>0.52500000000000002</v>
      </c>
      <c r="J46" s="26">
        <v>2.5000000000000001E-2</v>
      </c>
      <c r="K46" s="27">
        <v>0.05</v>
      </c>
      <c r="L46" s="10" t="s">
        <v>474</v>
      </c>
      <c r="M46" s="2" t="s">
        <v>33</v>
      </c>
      <c r="N46" s="2" t="s">
        <v>479</v>
      </c>
      <c r="O46" s="4"/>
    </row>
    <row r="47" spans="1:15" x14ac:dyDescent="0.35">
      <c r="A47" s="11" t="s">
        <v>542</v>
      </c>
      <c r="B47" s="12">
        <v>45114</v>
      </c>
      <c r="C47" s="11" t="s">
        <v>222</v>
      </c>
      <c r="D47" s="11" t="s">
        <v>42</v>
      </c>
      <c r="E47" s="11" t="s">
        <v>490</v>
      </c>
      <c r="F47" s="13" t="s">
        <v>508</v>
      </c>
      <c r="G47" s="11" t="s">
        <v>485</v>
      </c>
      <c r="H47" s="28">
        <v>180</v>
      </c>
      <c r="I47" s="28">
        <v>199.34829999999999</v>
      </c>
      <c r="J47" s="26">
        <v>19.348299999999998</v>
      </c>
      <c r="K47" s="27">
        <v>0.1075</v>
      </c>
      <c r="L47" s="10" t="s">
        <v>474</v>
      </c>
      <c r="M47" s="11" t="s">
        <v>55</v>
      </c>
      <c r="N47" s="11" t="s">
        <v>488</v>
      </c>
      <c r="O47" s="13"/>
    </row>
    <row r="48" spans="1:15" x14ac:dyDescent="0.35">
      <c r="A48" s="2" t="s">
        <v>543</v>
      </c>
      <c r="B48" s="3">
        <v>45210</v>
      </c>
      <c r="C48" s="2" t="s">
        <v>222</v>
      </c>
      <c r="D48" s="2" t="s">
        <v>51</v>
      </c>
      <c r="E48" s="2" t="s">
        <v>471</v>
      </c>
      <c r="F48" s="4" t="s">
        <v>522</v>
      </c>
      <c r="G48" s="2" t="s">
        <v>523</v>
      </c>
      <c r="H48" s="25">
        <v>65</v>
      </c>
      <c r="I48" s="25">
        <v>64.482699999999994</v>
      </c>
      <c r="J48" s="26">
        <v>-0.51729999999999998</v>
      </c>
      <c r="K48" s="27">
        <v>-8.0000000000000002E-3</v>
      </c>
      <c r="L48" s="10" t="s">
        <v>474</v>
      </c>
      <c r="M48" s="2" t="s">
        <v>33</v>
      </c>
      <c r="N48" s="2" t="s">
        <v>499</v>
      </c>
      <c r="O48" s="4"/>
    </row>
    <row r="49" spans="1:15" x14ac:dyDescent="0.35">
      <c r="A49" s="11" t="s">
        <v>544</v>
      </c>
      <c r="B49" s="12">
        <v>45074</v>
      </c>
      <c r="C49" s="11" t="s">
        <v>113</v>
      </c>
      <c r="D49" s="11" t="s">
        <v>97</v>
      </c>
      <c r="E49" s="11" t="s">
        <v>490</v>
      </c>
      <c r="F49" s="13" t="s">
        <v>522</v>
      </c>
      <c r="G49" s="11" t="s">
        <v>523</v>
      </c>
      <c r="H49" s="28">
        <v>65</v>
      </c>
      <c r="I49" s="28">
        <v>64.664699999999996</v>
      </c>
      <c r="J49" s="26">
        <v>-0.33529999999999999</v>
      </c>
      <c r="K49" s="27">
        <v>-5.1999999999999998E-3</v>
      </c>
      <c r="L49" s="10" t="s">
        <v>474</v>
      </c>
      <c r="M49" s="11" t="s">
        <v>44</v>
      </c>
      <c r="N49" s="11" t="s">
        <v>499</v>
      </c>
      <c r="O49" s="13"/>
    </row>
    <row r="50" spans="1:15" x14ac:dyDescent="0.35">
      <c r="A50" s="2" t="s">
        <v>545</v>
      </c>
      <c r="B50" s="3">
        <v>45291</v>
      </c>
      <c r="C50" s="2" t="s">
        <v>333</v>
      </c>
      <c r="D50" s="2" t="s">
        <v>97</v>
      </c>
      <c r="E50" s="2" t="s">
        <v>482</v>
      </c>
      <c r="F50" s="4" t="s">
        <v>487</v>
      </c>
      <c r="G50" s="2" t="s">
        <v>487</v>
      </c>
      <c r="H50" s="25">
        <v>5.2</v>
      </c>
      <c r="I50" s="25">
        <v>5.2331000000000003</v>
      </c>
      <c r="J50" s="26">
        <v>3.3099999999999997E-2</v>
      </c>
      <c r="K50" s="27">
        <v>6.4000000000000003E-3</v>
      </c>
      <c r="L50" s="10" t="s">
        <v>474</v>
      </c>
      <c r="M50" s="2" t="s">
        <v>44</v>
      </c>
      <c r="N50" s="2" t="s">
        <v>479</v>
      </c>
      <c r="O50" s="4"/>
    </row>
    <row r="51" spans="1:15" x14ac:dyDescent="0.35">
      <c r="A51" s="11" t="s">
        <v>546</v>
      </c>
      <c r="B51" s="12">
        <v>45209</v>
      </c>
      <c r="C51" s="11" t="s">
        <v>403</v>
      </c>
      <c r="D51" s="11" t="s">
        <v>51</v>
      </c>
      <c r="E51" s="11" t="s">
        <v>471</v>
      </c>
      <c r="F51" s="13" t="s">
        <v>502</v>
      </c>
      <c r="G51" s="11" t="s">
        <v>503</v>
      </c>
      <c r="H51" s="28">
        <v>0.5</v>
      </c>
      <c r="I51" s="28">
        <v>0.39429999999999998</v>
      </c>
      <c r="J51" s="26">
        <v>-0.1057</v>
      </c>
      <c r="K51" s="27">
        <v>-0.2114</v>
      </c>
      <c r="L51" s="10" t="s">
        <v>474</v>
      </c>
      <c r="M51" s="11" t="s">
        <v>26</v>
      </c>
      <c r="N51" s="11" t="s">
        <v>479</v>
      </c>
      <c r="O51" s="13"/>
    </row>
    <row r="52" spans="1:15" x14ac:dyDescent="0.35">
      <c r="A52" s="2" t="s">
        <v>547</v>
      </c>
      <c r="B52" s="3">
        <v>44995</v>
      </c>
      <c r="C52" s="2" t="s">
        <v>367</v>
      </c>
      <c r="D52" s="2" t="s">
        <v>31</v>
      </c>
      <c r="E52" s="2" t="s">
        <v>490</v>
      </c>
      <c r="F52" s="4" t="s">
        <v>472</v>
      </c>
      <c r="G52" s="2" t="s">
        <v>473</v>
      </c>
      <c r="H52" s="25">
        <v>0.08</v>
      </c>
      <c r="I52" s="25">
        <v>3.56E-2</v>
      </c>
      <c r="J52" s="29">
        <v>-4.4400000000000002E-2</v>
      </c>
      <c r="K52" s="24">
        <v>-0.55500000000000005</v>
      </c>
      <c r="L52" s="20" t="s">
        <v>478</v>
      </c>
      <c r="M52" s="2" t="s">
        <v>26</v>
      </c>
      <c r="N52" s="2" t="s">
        <v>488</v>
      </c>
      <c r="O52" s="4" t="s">
        <v>480</v>
      </c>
    </row>
    <row r="53" spans="1:15" x14ac:dyDescent="0.35">
      <c r="A53" s="11" t="s">
        <v>548</v>
      </c>
      <c r="B53" s="12">
        <v>45187</v>
      </c>
      <c r="C53" s="11" t="s">
        <v>210</v>
      </c>
      <c r="D53" s="11" t="s">
        <v>31</v>
      </c>
      <c r="E53" s="11" t="s">
        <v>494</v>
      </c>
      <c r="F53" s="13" t="s">
        <v>502</v>
      </c>
      <c r="G53" s="11" t="s">
        <v>503</v>
      </c>
      <c r="H53" s="28">
        <v>0.5</v>
      </c>
      <c r="I53" s="28">
        <v>0.56169999999999998</v>
      </c>
      <c r="J53" s="26">
        <v>6.1699999999999998E-2</v>
      </c>
      <c r="K53" s="27">
        <v>0.1234</v>
      </c>
      <c r="L53" s="10" t="s">
        <v>474</v>
      </c>
      <c r="M53" s="11" t="s">
        <v>55</v>
      </c>
      <c r="N53" s="11" t="s">
        <v>499</v>
      </c>
      <c r="O53" s="13"/>
    </row>
    <row r="54" spans="1:15" x14ac:dyDescent="0.35">
      <c r="A54" s="2" t="s">
        <v>549</v>
      </c>
      <c r="B54" s="3">
        <v>45239</v>
      </c>
      <c r="C54" s="2" t="s">
        <v>419</v>
      </c>
      <c r="D54" s="2" t="s">
        <v>97</v>
      </c>
      <c r="E54" s="2" t="s">
        <v>494</v>
      </c>
      <c r="F54" s="4" t="s">
        <v>502</v>
      </c>
      <c r="G54" s="2" t="s">
        <v>503</v>
      </c>
      <c r="H54" s="25">
        <v>0.5</v>
      </c>
      <c r="I54" s="25">
        <v>0.40679999999999999</v>
      </c>
      <c r="J54" s="26">
        <v>-9.3200000000000005E-2</v>
      </c>
      <c r="K54" s="27">
        <v>-0.18640000000000001</v>
      </c>
      <c r="L54" s="10" t="s">
        <v>474</v>
      </c>
      <c r="M54" s="2" t="s">
        <v>33</v>
      </c>
      <c r="N54" s="2" t="s">
        <v>475</v>
      </c>
      <c r="O54" s="4"/>
    </row>
    <row r="55" spans="1:15" x14ac:dyDescent="0.35">
      <c r="A55" s="11" t="s">
        <v>550</v>
      </c>
      <c r="B55" s="12">
        <v>45092</v>
      </c>
      <c r="C55" s="11" t="s">
        <v>253</v>
      </c>
      <c r="D55" s="11" t="s">
        <v>42</v>
      </c>
      <c r="E55" s="11" t="s">
        <v>471</v>
      </c>
      <c r="F55" s="13" t="s">
        <v>497</v>
      </c>
      <c r="G55" s="11" t="s">
        <v>498</v>
      </c>
      <c r="H55" s="28">
        <v>0.89200000000000002</v>
      </c>
      <c r="I55" s="28">
        <v>0.88529999999999998</v>
      </c>
      <c r="J55" s="29">
        <v>-6.7000000000000002E-3</v>
      </c>
      <c r="K55" s="24">
        <v>-7.4999999999999997E-3</v>
      </c>
      <c r="L55" s="20" t="s">
        <v>478</v>
      </c>
      <c r="M55" s="11" t="s">
        <v>59</v>
      </c>
      <c r="N55" s="11" t="s">
        <v>499</v>
      </c>
      <c r="O55" s="13" t="s">
        <v>500</v>
      </c>
    </row>
    <row r="56" spans="1:15" x14ac:dyDescent="0.35">
      <c r="A56" s="2" t="s">
        <v>551</v>
      </c>
      <c r="B56" s="3">
        <v>44981</v>
      </c>
      <c r="C56" s="2" t="s">
        <v>196</v>
      </c>
      <c r="D56" s="2" t="s">
        <v>42</v>
      </c>
      <c r="E56" s="2" t="s">
        <v>471</v>
      </c>
      <c r="F56" s="4" t="s">
        <v>497</v>
      </c>
      <c r="G56" s="2" t="s">
        <v>498</v>
      </c>
      <c r="H56" s="25">
        <v>0.89200000000000002</v>
      </c>
      <c r="I56" s="25">
        <v>0.8911</v>
      </c>
      <c r="J56" s="26">
        <v>-8.9999999999999998E-4</v>
      </c>
      <c r="K56" s="27">
        <v>-1E-3</v>
      </c>
      <c r="L56" s="10" t="s">
        <v>474</v>
      </c>
      <c r="M56" s="2" t="s">
        <v>33</v>
      </c>
      <c r="N56" s="2" t="s">
        <v>479</v>
      </c>
      <c r="O56" s="4"/>
    </row>
    <row r="57" spans="1:15" x14ac:dyDescent="0.35">
      <c r="A57" s="11" t="s">
        <v>552</v>
      </c>
      <c r="B57" s="12">
        <v>44939</v>
      </c>
      <c r="C57" s="11" t="s">
        <v>113</v>
      </c>
      <c r="D57" s="11" t="s">
        <v>51</v>
      </c>
      <c r="E57" s="11" t="s">
        <v>482</v>
      </c>
      <c r="F57" s="13" t="s">
        <v>508</v>
      </c>
      <c r="G57" s="11" t="s">
        <v>485</v>
      </c>
      <c r="H57" s="28">
        <v>180</v>
      </c>
      <c r="I57" s="28">
        <v>171.83510000000001</v>
      </c>
      <c r="J57" s="26">
        <v>-8.1648999999999994</v>
      </c>
      <c r="K57" s="27">
        <v>-4.5400000000000003E-2</v>
      </c>
      <c r="L57" s="10" t="s">
        <v>474</v>
      </c>
      <c r="M57" s="11" t="s">
        <v>26</v>
      </c>
      <c r="N57" s="11" t="s">
        <v>479</v>
      </c>
      <c r="O57" s="13"/>
    </row>
    <row r="58" spans="1:15" x14ac:dyDescent="0.35">
      <c r="A58" s="2" t="s">
        <v>553</v>
      </c>
      <c r="B58" s="3">
        <v>45004</v>
      </c>
      <c r="C58" s="2" t="s">
        <v>347</v>
      </c>
      <c r="D58" s="2" t="s">
        <v>51</v>
      </c>
      <c r="E58" s="2" t="s">
        <v>490</v>
      </c>
      <c r="F58" s="4" t="s">
        <v>491</v>
      </c>
      <c r="G58" s="2" t="s">
        <v>492</v>
      </c>
      <c r="H58" s="25">
        <v>3.5</v>
      </c>
      <c r="I58" s="25">
        <v>3.7688000000000001</v>
      </c>
      <c r="J58" s="26">
        <v>0.26879999999999998</v>
      </c>
      <c r="K58" s="27">
        <v>7.6799999999999993E-2</v>
      </c>
      <c r="L58" s="10" t="s">
        <v>474</v>
      </c>
      <c r="M58" s="2" t="s">
        <v>33</v>
      </c>
      <c r="N58" s="2" t="s">
        <v>499</v>
      </c>
      <c r="O58" s="4"/>
    </row>
    <row r="59" spans="1:15" x14ac:dyDescent="0.35">
      <c r="A59" s="11" t="s">
        <v>554</v>
      </c>
      <c r="B59" s="12">
        <v>44959</v>
      </c>
      <c r="C59" s="11" t="s">
        <v>447</v>
      </c>
      <c r="D59" s="11" t="s">
        <v>31</v>
      </c>
      <c r="E59" s="11" t="s">
        <v>494</v>
      </c>
      <c r="F59" s="13" t="s">
        <v>508</v>
      </c>
      <c r="G59" s="11" t="s">
        <v>485</v>
      </c>
      <c r="H59" s="28">
        <v>180</v>
      </c>
      <c r="I59" s="28">
        <v>170.83709999999999</v>
      </c>
      <c r="J59" s="26">
        <v>-9.1629000000000005</v>
      </c>
      <c r="K59" s="27">
        <v>-5.0900000000000001E-2</v>
      </c>
      <c r="L59" s="10" t="s">
        <v>474</v>
      </c>
      <c r="M59" s="11" t="s">
        <v>59</v>
      </c>
      <c r="N59" s="11" t="s">
        <v>479</v>
      </c>
      <c r="O59" s="13"/>
    </row>
    <row r="60" spans="1:15" x14ac:dyDescent="0.35">
      <c r="A60" s="2" t="s">
        <v>555</v>
      </c>
      <c r="B60" s="3">
        <v>45102</v>
      </c>
      <c r="C60" s="2" t="s">
        <v>333</v>
      </c>
      <c r="D60" s="2" t="s">
        <v>97</v>
      </c>
      <c r="E60" s="2" t="s">
        <v>490</v>
      </c>
      <c r="F60" s="4" t="s">
        <v>508</v>
      </c>
      <c r="G60" s="2" t="s">
        <v>485</v>
      </c>
      <c r="H60" s="25">
        <v>180</v>
      </c>
      <c r="I60" s="25">
        <v>113.0637</v>
      </c>
      <c r="J60" s="29">
        <v>-66.936300000000003</v>
      </c>
      <c r="K60" s="24">
        <v>-0.37190000000000001</v>
      </c>
      <c r="L60" s="20" t="s">
        <v>478</v>
      </c>
      <c r="M60" s="2" t="s">
        <v>59</v>
      </c>
      <c r="N60" s="2" t="s">
        <v>475</v>
      </c>
      <c r="O60" s="4" t="s">
        <v>480</v>
      </c>
    </row>
    <row r="61" spans="1:15" x14ac:dyDescent="0.35">
      <c r="A61" s="11" t="s">
        <v>556</v>
      </c>
      <c r="B61" s="12">
        <v>45093</v>
      </c>
      <c r="C61" s="11" t="s">
        <v>245</v>
      </c>
      <c r="D61" s="11" t="s">
        <v>42</v>
      </c>
      <c r="E61" s="11" t="s">
        <v>471</v>
      </c>
      <c r="F61" s="13" t="s">
        <v>487</v>
      </c>
      <c r="G61" s="11" t="s">
        <v>487</v>
      </c>
      <c r="H61" s="28">
        <v>5.2</v>
      </c>
      <c r="I61" s="28">
        <v>5.4175000000000004</v>
      </c>
      <c r="J61" s="26">
        <v>0.2175</v>
      </c>
      <c r="K61" s="27">
        <v>4.1799999999999997E-2</v>
      </c>
      <c r="L61" s="10" t="s">
        <v>474</v>
      </c>
      <c r="M61" s="11" t="s">
        <v>44</v>
      </c>
      <c r="N61" s="11" t="s">
        <v>475</v>
      </c>
      <c r="O61" s="13"/>
    </row>
    <row r="62" spans="1:15" x14ac:dyDescent="0.35">
      <c r="A62" s="2" t="s">
        <v>557</v>
      </c>
      <c r="B62" s="3">
        <v>45087</v>
      </c>
      <c r="C62" s="2" t="s">
        <v>359</v>
      </c>
      <c r="D62" s="2" t="s">
        <v>31</v>
      </c>
      <c r="E62" s="2" t="s">
        <v>490</v>
      </c>
      <c r="F62" s="4" t="s">
        <v>472</v>
      </c>
      <c r="G62" s="2" t="s">
        <v>473</v>
      </c>
      <c r="H62" s="25">
        <v>0.08</v>
      </c>
      <c r="I62" s="25">
        <v>7.8399999999999997E-2</v>
      </c>
      <c r="J62" s="26">
        <v>-1.6000000000000001E-3</v>
      </c>
      <c r="K62" s="27">
        <v>-0.02</v>
      </c>
      <c r="L62" s="10" t="s">
        <v>474</v>
      </c>
      <c r="M62" s="2" t="s">
        <v>33</v>
      </c>
      <c r="N62" s="2" t="s">
        <v>499</v>
      </c>
      <c r="O62" s="4"/>
    </row>
    <row r="63" spans="1:15" x14ac:dyDescent="0.35">
      <c r="A63" s="11" t="s">
        <v>558</v>
      </c>
      <c r="B63" s="12">
        <v>45149</v>
      </c>
      <c r="C63" s="11" t="s">
        <v>327</v>
      </c>
      <c r="D63" s="11" t="s">
        <v>51</v>
      </c>
      <c r="E63" s="11" t="s">
        <v>490</v>
      </c>
      <c r="F63" s="13" t="s">
        <v>487</v>
      </c>
      <c r="G63" s="11" t="s">
        <v>487</v>
      </c>
      <c r="H63" s="28">
        <v>5.2</v>
      </c>
      <c r="I63" s="28">
        <v>4.9683000000000002</v>
      </c>
      <c r="J63" s="26">
        <v>-0.23169999999999999</v>
      </c>
      <c r="K63" s="27">
        <v>-4.4600000000000001E-2</v>
      </c>
      <c r="L63" s="10" t="s">
        <v>474</v>
      </c>
      <c r="M63" s="11" t="s">
        <v>59</v>
      </c>
      <c r="N63" s="11" t="s">
        <v>479</v>
      </c>
      <c r="O63" s="13"/>
    </row>
    <row r="64" spans="1:15" x14ac:dyDescent="0.35">
      <c r="A64" s="2" t="s">
        <v>559</v>
      </c>
      <c r="B64" s="3">
        <v>45132</v>
      </c>
      <c r="C64" s="2" t="s">
        <v>369</v>
      </c>
      <c r="D64" s="2" t="s">
        <v>31</v>
      </c>
      <c r="E64" s="2" t="s">
        <v>482</v>
      </c>
      <c r="F64" s="4" t="s">
        <v>472</v>
      </c>
      <c r="G64" s="2" t="s">
        <v>473</v>
      </c>
      <c r="H64" s="25">
        <v>0.08</v>
      </c>
      <c r="I64" s="25">
        <v>9.7199999999999995E-2</v>
      </c>
      <c r="J64" s="26">
        <v>1.72E-2</v>
      </c>
      <c r="K64" s="27">
        <v>0.215</v>
      </c>
      <c r="L64" s="10" t="s">
        <v>474</v>
      </c>
      <c r="M64" s="2" t="s">
        <v>33</v>
      </c>
      <c r="N64" s="2" t="s">
        <v>479</v>
      </c>
      <c r="O64" s="4"/>
    </row>
    <row r="65" spans="1:15" x14ac:dyDescent="0.35">
      <c r="A65" s="11" t="s">
        <v>560</v>
      </c>
      <c r="B65" s="12">
        <v>45150</v>
      </c>
      <c r="C65" s="11" t="s">
        <v>113</v>
      </c>
      <c r="D65" s="11" t="s">
        <v>51</v>
      </c>
      <c r="E65" s="11" t="s">
        <v>490</v>
      </c>
      <c r="F65" s="13" t="s">
        <v>502</v>
      </c>
      <c r="G65" s="11" t="s">
        <v>503</v>
      </c>
      <c r="H65" s="28">
        <v>0.5</v>
      </c>
      <c r="I65" s="28">
        <v>0.36209999999999998</v>
      </c>
      <c r="J65" s="26">
        <v>-0.13789999999999999</v>
      </c>
      <c r="K65" s="27">
        <v>-0.27579999999999999</v>
      </c>
      <c r="L65" s="10" t="s">
        <v>474</v>
      </c>
      <c r="M65" s="11" t="s">
        <v>59</v>
      </c>
      <c r="N65" s="11" t="s">
        <v>479</v>
      </c>
      <c r="O65" s="13"/>
    </row>
    <row r="66" spans="1:15" x14ac:dyDescent="0.35">
      <c r="A66" s="2" t="s">
        <v>561</v>
      </c>
      <c r="B66" s="3">
        <v>45071</v>
      </c>
      <c r="C66" s="2" t="s">
        <v>236</v>
      </c>
      <c r="D66" s="2" t="s">
        <v>42</v>
      </c>
      <c r="E66" s="2" t="s">
        <v>477</v>
      </c>
      <c r="F66" s="4" t="s">
        <v>502</v>
      </c>
      <c r="G66" s="2" t="s">
        <v>503</v>
      </c>
      <c r="H66" s="25">
        <v>0.5</v>
      </c>
      <c r="I66" s="25">
        <v>0.62970000000000004</v>
      </c>
      <c r="J66" s="26">
        <v>0.12970000000000001</v>
      </c>
      <c r="K66" s="27">
        <v>0.25940000000000002</v>
      </c>
      <c r="L66" s="10" t="s">
        <v>474</v>
      </c>
      <c r="M66" s="2" t="s">
        <v>33</v>
      </c>
      <c r="N66" s="2" t="s">
        <v>479</v>
      </c>
      <c r="O66" s="4"/>
    </row>
    <row r="67" spans="1:15" x14ac:dyDescent="0.35">
      <c r="A67" s="11" t="s">
        <v>562</v>
      </c>
      <c r="B67" s="12">
        <v>45113</v>
      </c>
      <c r="C67" s="11" t="s">
        <v>184</v>
      </c>
      <c r="D67" s="11" t="s">
        <v>23</v>
      </c>
      <c r="E67" s="11" t="s">
        <v>477</v>
      </c>
      <c r="F67" s="13" t="s">
        <v>472</v>
      </c>
      <c r="G67" s="11" t="s">
        <v>473</v>
      </c>
      <c r="H67" s="28">
        <v>0.08</v>
      </c>
      <c r="I67" s="28">
        <v>7.1800000000000003E-2</v>
      </c>
      <c r="J67" s="26">
        <v>-8.2000000000000007E-3</v>
      </c>
      <c r="K67" s="27">
        <v>-0.10249999999999999</v>
      </c>
      <c r="L67" s="10" t="s">
        <v>474</v>
      </c>
      <c r="M67" s="11" t="s">
        <v>44</v>
      </c>
      <c r="N67" s="11" t="s">
        <v>475</v>
      </c>
      <c r="O67" s="13"/>
    </row>
    <row r="68" spans="1:15" x14ac:dyDescent="0.35">
      <c r="A68" s="2" t="s">
        <v>563</v>
      </c>
      <c r="B68" s="3">
        <v>44951</v>
      </c>
      <c r="C68" s="2" t="s">
        <v>113</v>
      </c>
      <c r="D68" s="2" t="s">
        <v>31</v>
      </c>
      <c r="E68" s="2" t="s">
        <v>477</v>
      </c>
      <c r="F68" s="4" t="s">
        <v>491</v>
      </c>
      <c r="G68" s="2" t="s">
        <v>492</v>
      </c>
      <c r="H68" s="25">
        <v>3.5</v>
      </c>
      <c r="I68" s="25">
        <v>4.6092000000000004</v>
      </c>
      <c r="J68" s="29">
        <v>1.1092</v>
      </c>
      <c r="K68" s="24">
        <v>0.31690000000000002</v>
      </c>
      <c r="L68" s="20" t="s">
        <v>478</v>
      </c>
      <c r="M68" s="2" t="s">
        <v>33</v>
      </c>
      <c r="N68" s="2" t="s">
        <v>479</v>
      </c>
      <c r="O68" s="4" t="s">
        <v>480</v>
      </c>
    </row>
    <row r="69" spans="1:15" x14ac:dyDescent="0.35">
      <c r="A69" s="11" t="s">
        <v>564</v>
      </c>
      <c r="B69" s="12">
        <v>45157</v>
      </c>
      <c r="C69" s="11" t="s">
        <v>69</v>
      </c>
      <c r="D69" s="11" t="s">
        <v>42</v>
      </c>
      <c r="E69" s="11" t="s">
        <v>490</v>
      </c>
      <c r="F69" s="13" t="s">
        <v>497</v>
      </c>
      <c r="G69" s="11" t="s">
        <v>498</v>
      </c>
      <c r="H69" s="28">
        <v>0.89200000000000002</v>
      </c>
      <c r="I69" s="28">
        <v>0.89</v>
      </c>
      <c r="J69" s="26">
        <v>-2E-3</v>
      </c>
      <c r="K69" s="27">
        <v>-2.2000000000000001E-3</v>
      </c>
      <c r="L69" s="10" t="s">
        <v>474</v>
      </c>
      <c r="M69" s="11" t="s">
        <v>33</v>
      </c>
      <c r="N69" s="11" t="s">
        <v>499</v>
      </c>
      <c r="O69" s="13"/>
    </row>
    <row r="70" spans="1:15" x14ac:dyDescent="0.35">
      <c r="A70" s="2" t="s">
        <v>565</v>
      </c>
      <c r="B70" s="3">
        <v>45223</v>
      </c>
      <c r="C70" s="2" t="s">
        <v>170</v>
      </c>
      <c r="D70" s="2" t="s">
        <v>97</v>
      </c>
      <c r="E70" s="2" t="s">
        <v>494</v>
      </c>
      <c r="F70" s="4" t="s">
        <v>497</v>
      </c>
      <c r="G70" s="2" t="s">
        <v>498</v>
      </c>
      <c r="H70" s="25">
        <v>0.89200000000000002</v>
      </c>
      <c r="I70" s="25">
        <v>0.88929999999999998</v>
      </c>
      <c r="J70" s="26">
        <v>-2.7000000000000001E-3</v>
      </c>
      <c r="K70" s="27">
        <v>-3.0000000000000001E-3</v>
      </c>
      <c r="L70" s="10" t="s">
        <v>474</v>
      </c>
      <c r="M70" s="2" t="s">
        <v>33</v>
      </c>
      <c r="N70" s="2" t="s">
        <v>499</v>
      </c>
      <c r="O70" s="4"/>
    </row>
    <row r="71" spans="1:15" x14ac:dyDescent="0.35">
      <c r="A71" s="11" t="s">
        <v>566</v>
      </c>
      <c r="B71" s="12">
        <v>45091</v>
      </c>
      <c r="C71" s="11" t="s">
        <v>148</v>
      </c>
      <c r="D71" s="11" t="s">
        <v>97</v>
      </c>
      <c r="E71" s="11" t="s">
        <v>471</v>
      </c>
      <c r="F71" s="13" t="s">
        <v>487</v>
      </c>
      <c r="G71" s="11" t="s">
        <v>487</v>
      </c>
      <c r="H71" s="28">
        <v>5.2</v>
      </c>
      <c r="I71" s="28">
        <v>4.7275999999999998</v>
      </c>
      <c r="J71" s="29">
        <v>-0.47239999999999999</v>
      </c>
      <c r="K71" s="24">
        <v>-9.0800000000000006E-2</v>
      </c>
      <c r="L71" s="20" t="s">
        <v>478</v>
      </c>
      <c r="M71" s="11" t="s">
        <v>33</v>
      </c>
      <c r="N71" s="11" t="s">
        <v>499</v>
      </c>
      <c r="O71" s="13" t="s">
        <v>480</v>
      </c>
    </row>
    <row r="72" spans="1:15" x14ac:dyDescent="0.35">
      <c r="A72" s="2" t="s">
        <v>567</v>
      </c>
      <c r="B72" s="3">
        <v>44954</v>
      </c>
      <c r="C72" s="2" t="s">
        <v>389</v>
      </c>
      <c r="D72" s="2" t="s">
        <v>31</v>
      </c>
      <c r="E72" s="2" t="s">
        <v>482</v>
      </c>
      <c r="F72" s="4" t="s">
        <v>522</v>
      </c>
      <c r="G72" s="2" t="s">
        <v>523</v>
      </c>
      <c r="H72" s="25">
        <v>65</v>
      </c>
      <c r="I72" s="25">
        <v>65.395399999999995</v>
      </c>
      <c r="J72" s="26">
        <v>0.39539999999999997</v>
      </c>
      <c r="K72" s="27">
        <v>6.1000000000000004E-3</v>
      </c>
      <c r="L72" s="10" t="s">
        <v>474</v>
      </c>
      <c r="M72" s="2" t="s">
        <v>33</v>
      </c>
      <c r="N72" s="2" t="s">
        <v>479</v>
      </c>
      <c r="O72" s="4"/>
    </row>
    <row r="73" spans="1:15" x14ac:dyDescent="0.35">
      <c r="A73" s="11" t="s">
        <v>568</v>
      </c>
      <c r="B73" s="12">
        <v>44933</v>
      </c>
      <c r="C73" s="11" t="s">
        <v>107</v>
      </c>
      <c r="D73" s="11" t="s">
        <v>31</v>
      </c>
      <c r="E73" s="11" t="s">
        <v>482</v>
      </c>
      <c r="F73" s="13" t="s">
        <v>497</v>
      </c>
      <c r="G73" s="11" t="s">
        <v>498</v>
      </c>
      <c r="H73" s="28">
        <v>0.89200000000000002</v>
      </c>
      <c r="I73" s="28">
        <v>0.89259999999999995</v>
      </c>
      <c r="J73" s="26">
        <v>5.9999999999999995E-4</v>
      </c>
      <c r="K73" s="27">
        <v>6.9999999999999999E-4</v>
      </c>
      <c r="L73" s="10" t="s">
        <v>474</v>
      </c>
      <c r="M73" s="11" t="s">
        <v>59</v>
      </c>
      <c r="N73" s="11" t="s">
        <v>479</v>
      </c>
      <c r="O73" s="13"/>
    </row>
    <row r="74" spans="1:15" x14ac:dyDescent="0.35">
      <c r="A74" s="2" t="s">
        <v>569</v>
      </c>
      <c r="B74" s="3">
        <v>45073</v>
      </c>
      <c r="C74" s="2" t="s">
        <v>399</v>
      </c>
      <c r="D74" s="2" t="s">
        <v>97</v>
      </c>
      <c r="E74" s="2" t="s">
        <v>482</v>
      </c>
      <c r="F74" s="4" t="s">
        <v>491</v>
      </c>
      <c r="G74" s="2" t="s">
        <v>492</v>
      </c>
      <c r="H74" s="25">
        <v>3.5</v>
      </c>
      <c r="I74" s="25">
        <v>2.9738000000000002</v>
      </c>
      <c r="J74" s="26">
        <v>-0.5262</v>
      </c>
      <c r="K74" s="27">
        <v>-0.15029999999999999</v>
      </c>
      <c r="L74" s="10" t="s">
        <v>474</v>
      </c>
      <c r="M74" s="2" t="s">
        <v>26</v>
      </c>
      <c r="N74" s="2" t="s">
        <v>488</v>
      </c>
      <c r="O74" s="4"/>
    </row>
    <row r="75" spans="1:15" x14ac:dyDescent="0.35">
      <c r="A75" s="11" t="s">
        <v>570</v>
      </c>
      <c r="B75" s="12">
        <v>45162</v>
      </c>
      <c r="C75" s="11" t="s">
        <v>125</v>
      </c>
      <c r="D75" s="11" t="s">
        <v>31</v>
      </c>
      <c r="E75" s="11" t="s">
        <v>482</v>
      </c>
      <c r="F75" s="13" t="s">
        <v>472</v>
      </c>
      <c r="G75" s="11" t="s">
        <v>473</v>
      </c>
      <c r="H75" s="28">
        <v>0.08</v>
      </c>
      <c r="I75" s="28">
        <v>4.2599999999999999E-2</v>
      </c>
      <c r="J75" s="29">
        <v>-3.7400000000000003E-2</v>
      </c>
      <c r="K75" s="24">
        <v>-0.46750000000000003</v>
      </c>
      <c r="L75" s="20" t="s">
        <v>478</v>
      </c>
      <c r="M75" s="11" t="s">
        <v>55</v>
      </c>
      <c r="N75" s="11" t="s">
        <v>499</v>
      </c>
      <c r="O75" s="13" t="s">
        <v>480</v>
      </c>
    </row>
    <row r="76" spans="1:15" x14ac:dyDescent="0.35">
      <c r="A76" s="2" t="s">
        <v>571</v>
      </c>
      <c r="B76" s="3">
        <v>45164</v>
      </c>
      <c r="C76" s="2" t="s">
        <v>188</v>
      </c>
      <c r="D76" s="2" t="s">
        <v>23</v>
      </c>
      <c r="E76" s="2" t="s">
        <v>494</v>
      </c>
      <c r="F76" s="4" t="s">
        <v>491</v>
      </c>
      <c r="G76" s="2" t="s">
        <v>492</v>
      </c>
      <c r="H76" s="25">
        <v>3.5</v>
      </c>
      <c r="I76" s="25">
        <v>3.3763000000000001</v>
      </c>
      <c r="J76" s="26">
        <v>-0.1237</v>
      </c>
      <c r="K76" s="27">
        <v>-3.5299999999999998E-2</v>
      </c>
      <c r="L76" s="10" t="s">
        <v>474</v>
      </c>
      <c r="M76" s="2" t="s">
        <v>44</v>
      </c>
      <c r="N76" s="2" t="s">
        <v>499</v>
      </c>
      <c r="O76" s="4"/>
    </row>
    <row r="77" spans="1:15" x14ac:dyDescent="0.35">
      <c r="A77" s="11" t="s">
        <v>572</v>
      </c>
      <c r="B77" s="12">
        <v>44980</v>
      </c>
      <c r="C77" s="11" t="s">
        <v>371</v>
      </c>
      <c r="D77" s="11" t="s">
        <v>23</v>
      </c>
      <c r="E77" s="11" t="s">
        <v>490</v>
      </c>
      <c r="F77" s="13" t="s">
        <v>508</v>
      </c>
      <c r="G77" s="11" t="s">
        <v>485</v>
      </c>
      <c r="H77" s="28">
        <v>180</v>
      </c>
      <c r="I77" s="28">
        <v>156.32599999999999</v>
      </c>
      <c r="J77" s="26">
        <v>-23.673999999999999</v>
      </c>
      <c r="K77" s="27">
        <v>-0.13150000000000001</v>
      </c>
      <c r="L77" s="10" t="s">
        <v>474</v>
      </c>
      <c r="M77" s="11" t="s">
        <v>44</v>
      </c>
      <c r="N77" s="11" t="s">
        <v>499</v>
      </c>
      <c r="O77" s="13"/>
    </row>
    <row r="78" spans="1:15" x14ac:dyDescent="0.35">
      <c r="A78" s="2" t="s">
        <v>573</v>
      </c>
      <c r="B78" s="3">
        <v>44972</v>
      </c>
      <c r="C78" s="2" t="s">
        <v>371</v>
      </c>
      <c r="D78" s="2" t="s">
        <v>31</v>
      </c>
      <c r="E78" s="2" t="s">
        <v>477</v>
      </c>
      <c r="F78" s="4" t="s">
        <v>487</v>
      </c>
      <c r="G78" s="2" t="s">
        <v>487</v>
      </c>
      <c r="H78" s="25">
        <v>5.2</v>
      </c>
      <c r="I78" s="25">
        <v>5.2073</v>
      </c>
      <c r="J78" s="26">
        <v>7.3000000000000001E-3</v>
      </c>
      <c r="K78" s="27">
        <v>1.4E-3</v>
      </c>
      <c r="L78" s="10" t="s">
        <v>474</v>
      </c>
      <c r="M78" s="2" t="s">
        <v>59</v>
      </c>
      <c r="N78" s="2" t="s">
        <v>479</v>
      </c>
      <c r="O78" s="4"/>
    </row>
    <row r="79" spans="1:15" x14ac:dyDescent="0.35">
      <c r="A79" s="11" t="s">
        <v>574</v>
      </c>
      <c r="B79" s="12">
        <v>45092</v>
      </c>
      <c r="C79" s="11" t="s">
        <v>162</v>
      </c>
      <c r="D79" s="11" t="s">
        <v>31</v>
      </c>
      <c r="E79" s="11" t="s">
        <v>494</v>
      </c>
      <c r="F79" s="13" t="s">
        <v>522</v>
      </c>
      <c r="G79" s="11" t="s">
        <v>523</v>
      </c>
      <c r="H79" s="28">
        <v>65</v>
      </c>
      <c r="I79" s="28">
        <v>64.828599999999994</v>
      </c>
      <c r="J79" s="26">
        <v>-0.1714</v>
      </c>
      <c r="K79" s="27">
        <v>-2.5999999999999999E-3</v>
      </c>
      <c r="L79" s="10" t="s">
        <v>474</v>
      </c>
      <c r="M79" s="11" t="s">
        <v>33</v>
      </c>
      <c r="N79" s="11" t="s">
        <v>475</v>
      </c>
      <c r="O79" s="13"/>
    </row>
    <row r="80" spans="1:15" x14ac:dyDescent="0.35">
      <c r="A80" s="2" t="s">
        <v>575</v>
      </c>
      <c r="B80" s="3">
        <v>45245</v>
      </c>
      <c r="C80" s="2" t="s">
        <v>94</v>
      </c>
      <c r="D80" s="2" t="s">
        <v>51</v>
      </c>
      <c r="E80" s="2" t="s">
        <v>477</v>
      </c>
      <c r="F80" s="4" t="s">
        <v>472</v>
      </c>
      <c r="G80" s="2" t="s">
        <v>473</v>
      </c>
      <c r="H80" s="25">
        <v>0.08</v>
      </c>
      <c r="I80" s="25">
        <v>9.4600000000000004E-2</v>
      </c>
      <c r="J80" s="26">
        <v>1.46E-2</v>
      </c>
      <c r="K80" s="27">
        <v>0.1825</v>
      </c>
      <c r="L80" s="10" t="s">
        <v>474</v>
      </c>
      <c r="M80" s="2" t="s">
        <v>44</v>
      </c>
      <c r="N80" s="2" t="s">
        <v>499</v>
      </c>
      <c r="O80" s="4"/>
    </row>
    <row r="81" spans="1:15" x14ac:dyDescent="0.35">
      <c r="A81" s="11" t="s">
        <v>576</v>
      </c>
      <c r="B81" s="12">
        <v>45087</v>
      </c>
      <c r="C81" s="11" t="s">
        <v>162</v>
      </c>
      <c r="D81" s="11" t="s">
        <v>51</v>
      </c>
      <c r="E81" s="11" t="s">
        <v>482</v>
      </c>
      <c r="F81" s="13" t="s">
        <v>497</v>
      </c>
      <c r="G81" s="11" t="s">
        <v>498</v>
      </c>
      <c r="H81" s="28">
        <v>0.89200000000000002</v>
      </c>
      <c r="I81" s="28">
        <v>0.88949999999999996</v>
      </c>
      <c r="J81" s="26">
        <v>-2.5000000000000001E-3</v>
      </c>
      <c r="K81" s="27">
        <v>-2.8E-3</v>
      </c>
      <c r="L81" s="10" t="s">
        <v>474</v>
      </c>
      <c r="M81" s="11" t="s">
        <v>26</v>
      </c>
      <c r="N81" s="11" t="s">
        <v>475</v>
      </c>
      <c r="O81" s="13"/>
    </row>
    <row r="82" spans="1:15" x14ac:dyDescent="0.35">
      <c r="A82" s="2" t="s">
        <v>577</v>
      </c>
      <c r="B82" s="3">
        <v>45274</v>
      </c>
      <c r="C82" s="2" t="s">
        <v>184</v>
      </c>
      <c r="D82" s="2" t="s">
        <v>42</v>
      </c>
      <c r="E82" s="2" t="s">
        <v>494</v>
      </c>
      <c r="F82" s="4" t="s">
        <v>522</v>
      </c>
      <c r="G82" s="2" t="s">
        <v>523</v>
      </c>
      <c r="H82" s="25">
        <v>65</v>
      </c>
      <c r="I82" s="25">
        <v>65.746300000000005</v>
      </c>
      <c r="J82" s="26">
        <v>0.74629999999999996</v>
      </c>
      <c r="K82" s="27">
        <v>1.15E-2</v>
      </c>
      <c r="L82" s="10" t="s">
        <v>474</v>
      </c>
      <c r="M82" s="2" t="s">
        <v>26</v>
      </c>
      <c r="N82" s="2" t="s">
        <v>499</v>
      </c>
      <c r="O82" s="4"/>
    </row>
    <row r="83" spans="1:15" x14ac:dyDescent="0.35">
      <c r="A83" s="11" t="s">
        <v>578</v>
      </c>
      <c r="B83" s="12">
        <v>44994</v>
      </c>
      <c r="C83" s="11" t="s">
        <v>315</v>
      </c>
      <c r="D83" s="11" t="s">
        <v>42</v>
      </c>
      <c r="E83" s="11" t="s">
        <v>494</v>
      </c>
      <c r="F83" s="13" t="s">
        <v>472</v>
      </c>
      <c r="G83" s="11" t="s">
        <v>473</v>
      </c>
      <c r="H83" s="28">
        <v>0.08</v>
      </c>
      <c r="I83" s="28">
        <v>6.8099999999999994E-2</v>
      </c>
      <c r="J83" s="26">
        <v>-1.1900000000000001E-2</v>
      </c>
      <c r="K83" s="27">
        <v>-0.14879999999999999</v>
      </c>
      <c r="L83" s="10" t="s">
        <v>474</v>
      </c>
      <c r="M83" s="11" t="s">
        <v>33</v>
      </c>
      <c r="N83" s="11" t="s">
        <v>475</v>
      </c>
      <c r="O83" s="13"/>
    </row>
    <row r="84" spans="1:15" x14ac:dyDescent="0.35">
      <c r="A84" s="2" t="s">
        <v>579</v>
      </c>
      <c r="B84" s="3">
        <v>45195</v>
      </c>
      <c r="C84" s="2" t="s">
        <v>379</v>
      </c>
      <c r="D84" s="2" t="s">
        <v>42</v>
      </c>
      <c r="E84" s="2" t="s">
        <v>490</v>
      </c>
      <c r="F84" s="4" t="s">
        <v>502</v>
      </c>
      <c r="G84" s="2" t="s">
        <v>503</v>
      </c>
      <c r="H84" s="25">
        <v>0.5</v>
      </c>
      <c r="I84" s="25">
        <v>0.63490000000000002</v>
      </c>
      <c r="J84" s="26">
        <v>0.13489999999999999</v>
      </c>
      <c r="K84" s="27">
        <v>0.26979999999999998</v>
      </c>
      <c r="L84" s="10" t="s">
        <v>474</v>
      </c>
      <c r="M84" s="2" t="s">
        <v>59</v>
      </c>
      <c r="N84" s="2" t="s">
        <v>479</v>
      </c>
      <c r="O84" s="4"/>
    </row>
    <row r="85" spans="1:15" x14ac:dyDescent="0.35">
      <c r="A85" s="11" t="s">
        <v>580</v>
      </c>
      <c r="B85" s="12">
        <v>45125</v>
      </c>
      <c r="C85" s="11" t="s">
        <v>241</v>
      </c>
      <c r="D85" s="11" t="s">
        <v>23</v>
      </c>
      <c r="E85" s="11" t="s">
        <v>471</v>
      </c>
      <c r="F85" s="13" t="s">
        <v>484</v>
      </c>
      <c r="G85" s="11" t="s">
        <v>485</v>
      </c>
      <c r="H85" s="28">
        <v>50</v>
      </c>
      <c r="I85" s="28">
        <v>50.976399999999998</v>
      </c>
      <c r="J85" s="26">
        <v>0.97640000000000005</v>
      </c>
      <c r="K85" s="27">
        <v>1.95E-2</v>
      </c>
      <c r="L85" s="10" t="s">
        <v>474</v>
      </c>
      <c r="M85" s="11" t="s">
        <v>44</v>
      </c>
      <c r="N85" s="11" t="s">
        <v>499</v>
      </c>
      <c r="O85" s="13"/>
    </row>
    <row r="86" spans="1:15" x14ac:dyDescent="0.35">
      <c r="A86" s="2" t="s">
        <v>581</v>
      </c>
      <c r="B86" s="3">
        <v>45263</v>
      </c>
      <c r="C86" s="2" t="s">
        <v>397</v>
      </c>
      <c r="D86" s="2" t="s">
        <v>42</v>
      </c>
      <c r="E86" s="2" t="s">
        <v>482</v>
      </c>
      <c r="F86" s="4" t="s">
        <v>497</v>
      </c>
      <c r="G86" s="2" t="s">
        <v>498</v>
      </c>
      <c r="H86" s="25">
        <v>0.89200000000000002</v>
      </c>
      <c r="I86" s="25">
        <v>0.8881</v>
      </c>
      <c r="J86" s="26">
        <v>-3.8999999999999998E-3</v>
      </c>
      <c r="K86" s="27">
        <v>-4.4000000000000003E-3</v>
      </c>
      <c r="L86" s="10" t="s">
        <v>474</v>
      </c>
      <c r="M86" s="2" t="s">
        <v>59</v>
      </c>
      <c r="N86" s="2" t="s">
        <v>499</v>
      </c>
      <c r="O86" s="4"/>
    </row>
    <row r="87" spans="1:15" x14ac:dyDescent="0.35">
      <c r="A87" s="11" t="s">
        <v>582</v>
      </c>
      <c r="B87" s="12">
        <v>45278</v>
      </c>
      <c r="C87" s="11" t="s">
        <v>172</v>
      </c>
      <c r="D87" s="11" t="s">
        <v>23</v>
      </c>
      <c r="E87" s="11" t="s">
        <v>471</v>
      </c>
      <c r="F87" s="13" t="s">
        <v>487</v>
      </c>
      <c r="G87" s="11" t="s">
        <v>487</v>
      </c>
      <c r="H87" s="28">
        <v>5.2</v>
      </c>
      <c r="I87" s="28">
        <v>5.0571000000000002</v>
      </c>
      <c r="J87" s="26">
        <v>-0.1429</v>
      </c>
      <c r="K87" s="27">
        <v>-2.75E-2</v>
      </c>
      <c r="L87" s="10" t="s">
        <v>474</v>
      </c>
      <c r="M87" s="11" t="s">
        <v>33</v>
      </c>
      <c r="N87" s="11" t="s">
        <v>499</v>
      </c>
      <c r="O87" s="13"/>
    </row>
    <row r="88" spans="1:15" x14ac:dyDescent="0.35">
      <c r="A88" s="2" t="s">
        <v>583</v>
      </c>
      <c r="B88" s="3">
        <v>45050</v>
      </c>
      <c r="C88" s="2" t="s">
        <v>139</v>
      </c>
      <c r="D88" s="2" t="s">
        <v>42</v>
      </c>
      <c r="E88" s="2" t="s">
        <v>477</v>
      </c>
      <c r="F88" s="4" t="s">
        <v>484</v>
      </c>
      <c r="G88" s="2" t="s">
        <v>485</v>
      </c>
      <c r="H88" s="25">
        <v>50</v>
      </c>
      <c r="I88" s="25">
        <v>78.387500000000003</v>
      </c>
      <c r="J88" s="29">
        <v>28.387499999999999</v>
      </c>
      <c r="K88" s="24">
        <v>0.56769999999999998</v>
      </c>
      <c r="L88" s="20" t="s">
        <v>478</v>
      </c>
      <c r="M88" s="2" t="s">
        <v>26</v>
      </c>
      <c r="N88" s="2" t="s">
        <v>499</v>
      </c>
      <c r="O88" s="4" t="s">
        <v>480</v>
      </c>
    </row>
    <row r="89" spans="1:15" x14ac:dyDescent="0.35">
      <c r="A89" s="11" t="s">
        <v>584</v>
      </c>
      <c r="B89" s="12">
        <v>45066</v>
      </c>
      <c r="C89" s="11" t="s">
        <v>241</v>
      </c>
      <c r="D89" s="11" t="s">
        <v>31</v>
      </c>
      <c r="E89" s="11" t="s">
        <v>482</v>
      </c>
      <c r="F89" s="13" t="s">
        <v>497</v>
      </c>
      <c r="G89" s="11" t="s">
        <v>498</v>
      </c>
      <c r="H89" s="28">
        <v>0.89200000000000002</v>
      </c>
      <c r="I89" s="28">
        <v>0.89419999999999999</v>
      </c>
      <c r="J89" s="26">
        <v>2.2000000000000001E-3</v>
      </c>
      <c r="K89" s="27">
        <v>2.5000000000000001E-3</v>
      </c>
      <c r="L89" s="10" t="s">
        <v>474</v>
      </c>
      <c r="M89" s="11" t="s">
        <v>59</v>
      </c>
      <c r="N89" s="11" t="s">
        <v>479</v>
      </c>
      <c r="O89" s="13"/>
    </row>
    <row r="90" spans="1:15" x14ac:dyDescent="0.35">
      <c r="A90" s="2" t="s">
        <v>585</v>
      </c>
      <c r="B90" s="3">
        <v>44998</v>
      </c>
      <c r="C90" s="2" t="s">
        <v>303</v>
      </c>
      <c r="D90" s="2" t="s">
        <v>51</v>
      </c>
      <c r="E90" s="2" t="s">
        <v>482</v>
      </c>
      <c r="F90" s="4" t="s">
        <v>497</v>
      </c>
      <c r="G90" s="2" t="s">
        <v>498</v>
      </c>
      <c r="H90" s="25">
        <v>0.89200000000000002</v>
      </c>
      <c r="I90" s="25">
        <v>0.8911</v>
      </c>
      <c r="J90" s="26">
        <v>-8.9999999999999998E-4</v>
      </c>
      <c r="K90" s="27">
        <v>-1E-3</v>
      </c>
      <c r="L90" s="10" t="s">
        <v>474</v>
      </c>
      <c r="M90" s="2" t="s">
        <v>59</v>
      </c>
      <c r="N90" s="2" t="s">
        <v>488</v>
      </c>
      <c r="O90" s="4"/>
    </row>
    <row r="91" spans="1:15" x14ac:dyDescent="0.35">
      <c r="A91" s="11" t="s">
        <v>586</v>
      </c>
      <c r="B91" s="12">
        <v>45106</v>
      </c>
      <c r="C91" s="11" t="s">
        <v>281</v>
      </c>
      <c r="D91" s="11" t="s">
        <v>97</v>
      </c>
      <c r="E91" s="11" t="s">
        <v>494</v>
      </c>
      <c r="F91" s="13" t="s">
        <v>508</v>
      </c>
      <c r="G91" s="11" t="s">
        <v>485</v>
      </c>
      <c r="H91" s="28">
        <v>180</v>
      </c>
      <c r="I91" s="28">
        <v>151.72909999999999</v>
      </c>
      <c r="J91" s="26">
        <v>-28.270900000000001</v>
      </c>
      <c r="K91" s="27">
        <v>-0.15709999999999999</v>
      </c>
      <c r="L91" s="10" t="s">
        <v>474</v>
      </c>
      <c r="M91" s="11" t="s">
        <v>44</v>
      </c>
      <c r="N91" s="11" t="s">
        <v>479</v>
      </c>
      <c r="O91" s="13"/>
    </row>
    <row r="92" spans="1:15" x14ac:dyDescent="0.35">
      <c r="A92" s="2" t="s">
        <v>587</v>
      </c>
      <c r="B92" s="3">
        <v>45145</v>
      </c>
      <c r="C92" s="2" t="s">
        <v>96</v>
      </c>
      <c r="D92" s="2" t="s">
        <v>31</v>
      </c>
      <c r="E92" s="2" t="s">
        <v>494</v>
      </c>
      <c r="F92" s="4" t="s">
        <v>484</v>
      </c>
      <c r="G92" s="2" t="s">
        <v>485</v>
      </c>
      <c r="H92" s="25">
        <v>50</v>
      </c>
      <c r="I92" s="25">
        <v>43.353499999999997</v>
      </c>
      <c r="J92" s="26">
        <v>-6.6464999999999996</v>
      </c>
      <c r="K92" s="27">
        <v>-0.13289999999999999</v>
      </c>
      <c r="L92" s="10" t="s">
        <v>474</v>
      </c>
      <c r="M92" s="2" t="s">
        <v>44</v>
      </c>
      <c r="N92" s="2" t="s">
        <v>499</v>
      </c>
      <c r="O92" s="4"/>
    </row>
    <row r="93" spans="1:15" x14ac:dyDescent="0.35">
      <c r="A93" s="11" t="s">
        <v>588</v>
      </c>
      <c r="B93" s="12">
        <v>45043</v>
      </c>
      <c r="C93" s="11" t="s">
        <v>411</v>
      </c>
      <c r="D93" s="11" t="s">
        <v>23</v>
      </c>
      <c r="E93" s="11" t="s">
        <v>477</v>
      </c>
      <c r="F93" s="13" t="s">
        <v>508</v>
      </c>
      <c r="G93" s="11" t="s">
        <v>485</v>
      </c>
      <c r="H93" s="28">
        <v>180</v>
      </c>
      <c r="I93" s="28">
        <v>183.50409999999999</v>
      </c>
      <c r="J93" s="26">
        <v>3.5041000000000002</v>
      </c>
      <c r="K93" s="27">
        <v>1.95E-2</v>
      </c>
      <c r="L93" s="10" t="s">
        <v>474</v>
      </c>
      <c r="M93" s="11" t="s">
        <v>26</v>
      </c>
      <c r="N93" s="11" t="s">
        <v>475</v>
      </c>
      <c r="O93" s="13"/>
    </row>
    <row r="94" spans="1:15" x14ac:dyDescent="0.35">
      <c r="A94" s="2" t="s">
        <v>589</v>
      </c>
      <c r="B94" s="3">
        <v>45088</v>
      </c>
      <c r="C94" s="2" t="s">
        <v>88</v>
      </c>
      <c r="D94" s="2" t="s">
        <v>31</v>
      </c>
      <c r="E94" s="2" t="s">
        <v>477</v>
      </c>
      <c r="F94" s="4" t="s">
        <v>491</v>
      </c>
      <c r="G94" s="2" t="s">
        <v>492</v>
      </c>
      <c r="H94" s="25">
        <v>3.5</v>
      </c>
      <c r="I94" s="25">
        <v>3.9956</v>
      </c>
      <c r="J94" s="26">
        <v>0.49559999999999998</v>
      </c>
      <c r="K94" s="27">
        <v>0.1416</v>
      </c>
      <c r="L94" s="10" t="s">
        <v>474</v>
      </c>
      <c r="M94" s="2" t="s">
        <v>55</v>
      </c>
      <c r="N94" s="2" t="s">
        <v>479</v>
      </c>
      <c r="O94" s="4"/>
    </row>
    <row r="95" spans="1:15" x14ac:dyDescent="0.35">
      <c r="A95" s="11" t="s">
        <v>590</v>
      </c>
      <c r="B95" s="12">
        <v>45247</v>
      </c>
      <c r="C95" s="11" t="s">
        <v>234</v>
      </c>
      <c r="D95" s="11" t="s">
        <v>42</v>
      </c>
      <c r="E95" s="11" t="s">
        <v>494</v>
      </c>
      <c r="F95" s="13" t="s">
        <v>472</v>
      </c>
      <c r="G95" s="11" t="s">
        <v>473</v>
      </c>
      <c r="H95" s="28">
        <v>0.08</v>
      </c>
      <c r="I95" s="28">
        <v>0.1273</v>
      </c>
      <c r="J95" s="29">
        <v>4.7300000000000002E-2</v>
      </c>
      <c r="K95" s="24">
        <v>0.59130000000000005</v>
      </c>
      <c r="L95" s="20" t="s">
        <v>478</v>
      </c>
      <c r="M95" s="11" t="s">
        <v>33</v>
      </c>
      <c r="N95" s="11" t="s">
        <v>488</v>
      </c>
      <c r="O95" s="13" t="s">
        <v>480</v>
      </c>
    </row>
    <row r="96" spans="1:15" x14ac:dyDescent="0.35">
      <c r="A96" s="2" t="s">
        <v>591</v>
      </c>
      <c r="B96" s="3">
        <v>45108</v>
      </c>
      <c r="C96" s="2" t="s">
        <v>182</v>
      </c>
      <c r="D96" s="2" t="s">
        <v>42</v>
      </c>
      <c r="E96" s="2" t="s">
        <v>471</v>
      </c>
      <c r="F96" s="4" t="s">
        <v>522</v>
      </c>
      <c r="G96" s="2" t="s">
        <v>523</v>
      </c>
      <c r="H96" s="25">
        <v>65</v>
      </c>
      <c r="I96" s="25">
        <v>62.394199999999998</v>
      </c>
      <c r="J96" s="29">
        <v>-2.6057999999999999</v>
      </c>
      <c r="K96" s="24">
        <v>-4.0099999999999997E-2</v>
      </c>
      <c r="L96" s="20" t="s">
        <v>478</v>
      </c>
      <c r="M96" s="2" t="s">
        <v>55</v>
      </c>
      <c r="N96" s="2" t="s">
        <v>488</v>
      </c>
      <c r="O96" s="4" t="s">
        <v>500</v>
      </c>
    </row>
    <row r="97" spans="1:15" x14ac:dyDescent="0.35">
      <c r="A97" s="11" t="s">
        <v>592</v>
      </c>
      <c r="B97" s="12">
        <v>45087</v>
      </c>
      <c r="C97" s="11" t="s">
        <v>121</v>
      </c>
      <c r="D97" s="11" t="s">
        <v>31</v>
      </c>
      <c r="E97" s="11" t="s">
        <v>482</v>
      </c>
      <c r="F97" s="13" t="s">
        <v>502</v>
      </c>
      <c r="G97" s="11" t="s">
        <v>503</v>
      </c>
      <c r="H97" s="28">
        <v>0.5</v>
      </c>
      <c r="I97" s="28">
        <v>0.83830000000000005</v>
      </c>
      <c r="J97" s="29">
        <v>0.33829999999999999</v>
      </c>
      <c r="K97" s="24">
        <v>0.67659999999999998</v>
      </c>
      <c r="L97" s="20" t="s">
        <v>478</v>
      </c>
      <c r="M97" s="11" t="s">
        <v>55</v>
      </c>
      <c r="N97" s="11" t="s">
        <v>499</v>
      </c>
      <c r="O97" s="13" t="s">
        <v>480</v>
      </c>
    </row>
    <row r="98" spans="1:15" x14ac:dyDescent="0.35">
      <c r="A98" s="2" t="s">
        <v>593</v>
      </c>
      <c r="B98" s="3">
        <v>45206</v>
      </c>
      <c r="C98" s="2" t="s">
        <v>224</v>
      </c>
      <c r="D98" s="2" t="s">
        <v>42</v>
      </c>
      <c r="E98" s="2" t="s">
        <v>482</v>
      </c>
      <c r="F98" s="4" t="s">
        <v>484</v>
      </c>
      <c r="G98" s="2" t="s">
        <v>485</v>
      </c>
      <c r="H98" s="25">
        <v>50</v>
      </c>
      <c r="I98" s="25">
        <v>54.531799999999997</v>
      </c>
      <c r="J98" s="26">
        <v>4.5317999999999996</v>
      </c>
      <c r="K98" s="27">
        <v>9.06E-2</v>
      </c>
      <c r="L98" s="10" t="s">
        <v>474</v>
      </c>
      <c r="M98" s="2" t="s">
        <v>44</v>
      </c>
      <c r="N98" s="2" t="s">
        <v>488</v>
      </c>
      <c r="O98" s="4"/>
    </row>
    <row r="99" spans="1:15" x14ac:dyDescent="0.35">
      <c r="A99" s="11" t="s">
        <v>594</v>
      </c>
      <c r="B99" s="12">
        <v>45087</v>
      </c>
      <c r="C99" s="11" t="s">
        <v>232</v>
      </c>
      <c r="D99" s="11" t="s">
        <v>51</v>
      </c>
      <c r="E99" s="11" t="s">
        <v>482</v>
      </c>
      <c r="F99" s="13" t="s">
        <v>508</v>
      </c>
      <c r="G99" s="11" t="s">
        <v>485</v>
      </c>
      <c r="H99" s="28">
        <v>180</v>
      </c>
      <c r="I99" s="28">
        <v>165.29</v>
      </c>
      <c r="J99" s="26">
        <v>-14.71</v>
      </c>
      <c r="K99" s="27">
        <v>-8.1699999999999995E-2</v>
      </c>
      <c r="L99" s="10" t="s">
        <v>474</v>
      </c>
      <c r="M99" s="11" t="s">
        <v>44</v>
      </c>
      <c r="N99" s="11" t="s">
        <v>488</v>
      </c>
      <c r="O99" s="13"/>
    </row>
    <row r="100" spans="1:15" x14ac:dyDescent="0.35">
      <c r="A100" s="2" t="s">
        <v>595</v>
      </c>
      <c r="B100" s="3">
        <v>45117</v>
      </c>
      <c r="C100" s="2" t="s">
        <v>393</v>
      </c>
      <c r="D100" s="2" t="s">
        <v>42</v>
      </c>
      <c r="E100" s="2" t="s">
        <v>471</v>
      </c>
      <c r="F100" s="4" t="s">
        <v>497</v>
      </c>
      <c r="G100" s="2" t="s">
        <v>498</v>
      </c>
      <c r="H100" s="25">
        <v>0.89200000000000002</v>
      </c>
      <c r="I100" s="25">
        <v>0.87949999999999995</v>
      </c>
      <c r="J100" s="29">
        <v>-1.2500000000000001E-2</v>
      </c>
      <c r="K100" s="24">
        <v>-1.4E-2</v>
      </c>
      <c r="L100" s="20" t="s">
        <v>478</v>
      </c>
      <c r="M100" s="2" t="s">
        <v>44</v>
      </c>
      <c r="N100" s="2" t="s">
        <v>499</v>
      </c>
      <c r="O100" s="4" t="s">
        <v>500</v>
      </c>
    </row>
    <row r="101" spans="1:15" x14ac:dyDescent="0.35">
      <c r="A101" s="11" t="s">
        <v>596</v>
      </c>
      <c r="B101" s="12">
        <v>45232</v>
      </c>
      <c r="C101" s="11" t="s">
        <v>202</v>
      </c>
      <c r="D101" s="11" t="s">
        <v>42</v>
      </c>
      <c r="E101" s="11" t="s">
        <v>477</v>
      </c>
      <c r="F101" s="13" t="s">
        <v>472</v>
      </c>
      <c r="G101" s="11" t="s">
        <v>473</v>
      </c>
      <c r="H101" s="28">
        <v>0.08</v>
      </c>
      <c r="I101" s="28">
        <v>8.1199999999999994E-2</v>
      </c>
      <c r="J101" s="26">
        <v>1.1999999999999999E-3</v>
      </c>
      <c r="K101" s="27">
        <v>1.4999999999999999E-2</v>
      </c>
      <c r="L101" s="10" t="s">
        <v>474</v>
      </c>
      <c r="M101" s="11" t="s">
        <v>55</v>
      </c>
      <c r="N101" s="11" t="s">
        <v>488</v>
      </c>
      <c r="O101" s="13"/>
    </row>
    <row r="102" spans="1:15" x14ac:dyDescent="0.35">
      <c r="A102" s="2" t="s">
        <v>597</v>
      </c>
      <c r="B102" s="3">
        <v>45084</v>
      </c>
      <c r="C102" s="2" t="s">
        <v>415</v>
      </c>
      <c r="D102" s="2" t="s">
        <v>42</v>
      </c>
      <c r="E102" s="2" t="s">
        <v>471</v>
      </c>
      <c r="F102" s="4" t="s">
        <v>487</v>
      </c>
      <c r="G102" s="2" t="s">
        <v>487</v>
      </c>
      <c r="H102" s="25">
        <v>5.2</v>
      </c>
      <c r="I102" s="25">
        <v>5.4058000000000002</v>
      </c>
      <c r="J102" s="26">
        <v>0.20580000000000001</v>
      </c>
      <c r="K102" s="27">
        <v>3.9600000000000003E-2</v>
      </c>
      <c r="L102" s="10" t="s">
        <v>474</v>
      </c>
      <c r="M102" s="2" t="s">
        <v>59</v>
      </c>
      <c r="N102" s="2" t="s">
        <v>499</v>
      </c>
      <c r="O102" s="4"/>
    </row>
    <row r="103" spans="1:15" x14ac:dyDescent="0.35">
      <c r="A103" s="11" t="s">
        <v>598</v>
      </c>
      <c r="B103" s="12">
        <v>45131</v>
      </c>
      <c r="C103" s="11" t="s">
        <v>319</v>
      </c>
      <c r="D103" s="11" t="s">
        <v>23</v>
      </c>
      <c r="E103" s="11" t="s">
        <v>471</v>
      </c>
      <c r="F103" s="13" t="s">
        <v>508</v>
      </c>
      <c r="G103" s="11" t="s">
        <v>485</v>
      </c>
      <c r="H103" s="28">
        <v>180</v>
      </c>
      <c r="I103" s="28">
        <v>165.77340000000001</v>
      </c>
      <c r="J103" s="26">
        <v>-14.226599999999999</v>
      </c>
      <c r="K103" s="27">
        <v>-7.9000000000000001E-2</v>
      </c>
      <c r="L103" s="10" t="s">
        <v>474</v>
      </c>
      <c r="M103" s="11" t="s">
        <v>59</v>
      </c>
      <c r="N103" s="11" t="s">
        <v>488</v>
      </c>
      <c r="O103" s="13"/>
    </row>
    <row r="104" spans="1:15" x14ac:dyDescent="0.35">
      <c r="A104" s="2" t="s">
        <v>599</v>
      </c>
      <c r="B104" s="3">
        <v>45087</v>
      </c>
      <c r="C104" s="2" t="s">
        <v>319</v>
      </c>
      <c r="D104" s="2" t="s">
        <v>31</v>
      </c>
      <c r="E104" s="2" t="s">
        <v>482</v>
      </c>
      <c r="F104" s="4" t="s">
        <v>522</v>
      </c>
      <c r="G104" s="2" t="s">
        <v>523</v>
      </c>
      <c r="H104" s="25">
        <v>65</v>
      </c>
      <c r="I104" s="25">
        <v>63.809600000000003</v>
      </c>
      <c r="J104" s="26">
        <v>-1.1903999999999999</v>
      </c>
      <c r="K104" s="27">
        <v>-1.83E-2</v>
      </c>
      <c r="L104" s="10" t="s">
        <v>474</v>
      </c>
      <c r="M104" s="2" t="s">
        <v>44</v>
      </c>
      <c r="N104" s="2" t="s">
        <v>499</v>
      </c>
      <c r="O104" s="4"/>
    </row>
    <row r="105" spans="1:15" x14ac:dyDescent="0.35">
      <c r="A105" s="11" t="s">
        <v>600</v>
      </c>
      <c r="B105" s="12">
        <v>45110</v>
      </c>
      <c r="C105" s="11" t="s">
        <v>154</v>
      </c>
      <c r="D105" s="11" t="s">
        <v>23</v>
      </c>
      <c r="E105" s="11" t="s">
        <v>471</v>
      </c>
      <c r="F105" s="13" t="s">
        <v>502</v>
      </c>
      <c r="G105" s="11" t="s">
        <v>503</v>
      </c>
      <c r="H105" s="28">
        <v>0.5</v>
      </c>
      <c r="I105" s="28">
        <v>0.53139999999999998</v>
      </c>
      <c r="J105" s="26">
        <v>3.1399999999999997E-2</v>
      </c>
      <c r="K105" s="27">
        <v>6.2799999999999995E-2</v>
      </c>
      <c r="L105" s="10" t="s">
        <v>474</v>
      </c>
      <c r="M105" s="11" t="s">
        <v>26</v>
      </c>
      <c r="N105" s="11" t="s">
        <v>479</v>
      </c>
      <c r="O105" s="13"/>
    </row>
    <row r="106" spans="1:15" x14ac:dyDescent="0.35">
      <c r="A106" s="2" t="s">
        <v>601</v>
      </c>
      <c r="B106" s="3">
        <v>45159</v>
      </c>
      <c r="C106" s="2" t="s">
        <v>196</v>
      </c>
      <c r="D106" s="2" t="s">
        <v>97</v>
      </c>
      <c r="E106" s="2" t="s">
        <v>477</v>
      </c>
      <c r="F106" s="4" t="s">
        <v>508</v>
      </c>
      <c r="G106" s="2" t="s">
        <v>485</v>
      </c>
      <c r="H106" s="25">
        <v>180</v>
      </c>
      <c r="I106" s="25">
        <v>169.27369999999999</v>
      </c>
      <c r="J106" s="26">
        <v>-10.7263</v>
      </c>
      <c r="K106" s="27">
        <v>-5.96E-2</v>
      </c>
      <c r="L106" s="10" t="s">
        <v>474</v>
      </c>
      <c r="M106" s="2" t="s">
        <v>55</v>
      </c>
      <c r="N106" s="2" t="s">
        <v>499</v>
      </c>
      <c r="O106" s="4"/>
    </row>
    <row r="107" spans="1:15" x14ac:dyDescent="0.35">
      <c r="A107" s="11" t="s">
        <v>602</v>
      </c>
      <c r="B107" s="12">
        <v>45109</v>
      </c>
      <c r="C107" s="11" t="s">
        <v>317</v>
      </c>
      <c r="D107" s="11" t="s">
        <v>31</v>
      </c>
      <c r="E107" s="11" t="s">
        <v>494</v>
      </c>
      <c r="F107" s="13" t="s">
        <v>484</v>
      </c>
      <c r="G107" s="11" t="s">
        <v>485</v>
      </c>
      <c r="H107" s="28">
        <v>50</v>
      </c>
      <c r="I107" s="28">
        <v>51.873800000000003</v>
      </c>
      <c r="J107" s="26">
        <v>1.8737999999999999</v>
      </c>
      <c r="K107" s="27">
        <v>3.7499999999999999E-2</v>
      </c>
      <c r="L107" s="10" t="s">
        <v>474</v>
      </c>
      <c r="M107" s="11" t="s">
        <v>59</v>
      </c>
      <c r="N107" s="11" t="s">
        <v>475</v>
      </c>
      <c r="O107" s="13"/>
    </row>
    <row r="108" spans="1:15" x14ac:dyDescent="0.35">
      <c r="A108" s="2" t="s">
        <v>603</v>
      </c>
      <c r="B108" s="3">
        <v>45252</v>
      </c>
      <c r="C108" s="2" t="s">
        <v>220</v>
      </c>
      <c r="D108" s="2" t="s">
        <v>42</v>
      </c>
      <c r="E108" s="2" t="s">
        <v>494</v>
      </c>
      <c r="F108" s="4" t="s">
        <v>487</v>
      </c>
      <c r="G108" s="2" t="s">
        <v>487</v>
      </c>
      <c r="H108" s="25">
        <v>5.2</v>
      </c>
      <c r="I108" s="25">
        <v>5.2816000000000001</v>
      </c>
      <c r="J108" s="26">
        <v>8.1600000000000006E-2</v>
      </c>
      <c r="K108" s="27">
        <v>1.5699999999999999E-2</v>
      </c>
      <c r="L108" s="10" t="s">
        <v>474</v>
      </c>
      <c r="M108" s="2" t="s">
        <v>59</v>
      </c>
      <c r="N108" s="2" t="s">
        <v>479</v>
      </c>
      <c r="O108" s="4"/>
    </row>
    <row r="109" spans="1:15" x14ac:dyDescent="0.35">
      <c r="A109" s="11" t="s">
        <v>604</v>
      </c>
      <c r="B109" s="12">
        <v>45209</v>
      </c>
      <c r="C109" s="11" t="s">
        <v>385</v>
      </c>
      <c r="D109" s="11" t="s">
        <v>31</v>
      </c>
      <c r="E109" s="11" t="s">
        <v>471</v>
      </c>
      <c r="F109" s="13" t="s">
        <v>502</v>
      </c>
      <c r="G109" s="11" t="s">
        <v>503</v>
      </c>
      <c r="H109" s="28">
        <v>0.5</v>
      </c>
      <c r="I109" s="28">
        <v>0.4481</v>
      </c>
      <c r="J109" s="26">
        <v>-5.1900000000000002E-2</v>
      </c>
      <c r="K109" s="27">
        <v>-0.1038</v>
      </c>
      <c r="L109" s="10" t="s">
        <v>474</v>
      </c>
      <c r="M109" s="11" t="s">
        <v>44</v>
      </c>
      <c r="N109" s="11" t="s">
        <v>488</v>
      </c>
      <c r="O109" s="13"/>
    </row>
    <row r="110" spans="1:15" x14ac:dyDescent="0.35">
      <c r="A110" s="2" t="s">
        <v>605</v>
      </c>
      <c r="B110" s="3">
        <v>45063</v>
      </c>
      <c r="C110" s="2" t="s">
        <v>335</v>
      </c>
      <c r="D110" s="2" t="s">
        <v>42</v>
      </c>
      <c r="E110" s="2" t="s">
        <v>471</v>
      </c>
      <c r="F110" s="4" t="s">
        <v>487</v>
      </c>
      <c r="G110" s="2" t="s">
        <v>487</v>
      </c>
      <c r="H110" s="25">
        <v>5.2</v>
      </c>
      <c r="I110" s="25">
        <v>5.2317999999999998</v>
      </c>
      <c r="J110" s="26">
        <v>3.1800000000000002E-2</v>
      </c>
      <c r="K110" s="27">
        <v>6.1000000000000004E-3</v>
      </c>
      <c r="L110" s="10" t="s">
        <v>474</v>
      </c>
      <c r="M110" s="2" t="s">
        <v>59</v>
      </c>
      <c r="N110" s="2" t="s">
        <v>499</v>
      </c>
      <c r="O110" s="4"/>
    </row>
    <row r="111" spans="1:15" x14ac:dyDescent="0.35">
      <c r="A111" s="11" t="s">
        <v>606</v>
      </c>
      <c r="B111" s="12">
        <v>44937</v>
      </c>
      <c r="C111" s="11" t="s">
        <v>67</v>
      </c>
      <c r="D111" s="11" t="s">
        <v>23</v>
      </c>
      <c r="E111" s="11" t="s">
        <v>477</v>
      </c>
      <c r="F111" s="13" t="s">
        <v>491</v>
      </c>
      <c r="G111" s="11" t="s">
        <v>492</v>
      </c>
      <c r="H111" s="28">
        <v>3.5</v>
      </c>
      <c r="I111" s="28">
        <v>2.4443999999999999</v>
      </c>
      <c r="J111" s="29">
        <v>-1.0556000000000001</v>
      </c>
      <c r="K111" s="24">
        <v>-0.30159999999999998</v>
      </c>
      <c r="L111" s="20" t="s">
        <v>478</v>
      </c>
      <c r="M111" s="11" t="s">
        <v>59</v>
      </c>
      <c r="N111" s="11" t="s">
        <v>475</v>
      </c>
      <c r="O111" s="13" t="s">
        <v>480</v>
      </c>
    </row>
    <row r="112" spans="1:15" x14ac:dyDescent="0.35">
      <c r="A112" s="2" t="s">
        <v>607</v>
      </c>
      <c r="B112" s="3">
        <v>45291</v>
      </c>
      <c r="C112" s="2" t="s">
        <v>182</v>
      </c>
      <c r="D112" s="2" t="s">
        <v>23</v>
      </c>
      <c r="E112" s="2" t="s">
        <v>482</v>
      </c>
      <c r="F112" s="4" t="s">
        <v>502</v>
      </c>
      <c r="G112" s="2" t="s">
        <v>503</v>
      </c>
      <c r="H112" s="25">
        <v>0.5</v>
      </c>
      <c r="I112" s="25">
        <v>0.45219999999999999</v>
      </c>
      <c r="J112" s="26">
        <v>-4.7800000000000002E-2</v>
      </c>
      <c r="K112" s="27">
        <v>-9.5600000000000004E-2</v>
      </c>
      <c r="L112" s="10" t="s">
        <v>474</v>
      </c>
      <c r="M112" s="2" t="s">
        <v>33</v>
      </c>
      <c r="N112" s="2" t="s">
        <v>499</v>
      </c>
      <c r="O112" s="4"/>
    </row>
    <row r="113" spans="1:15" x14ac:dyDescent="0.35">
      <c r="A113" s="11" t="s">
        <v>608</v>
      </c>
      <c r="B113" s="12">
        <v>45266</v>
      </c>
      <c r="C113" s="11" t="s">
        <v>184</v>
      </c>
      <c r="D113" s="11" t="s">
        <v>51</v>
      </c>
      <c r="E113" s="11" t="s">
        <v>490</v>
      </c>
      <c r="F113" s="13" t="s">
        <v>487</v>
      </c>
      <c r="G113" s="11" t="s">
        <v>487</v>
      </c>
      <c r="H113" s="28">
        <v>5.2</v>
      </c>
      <c r="I113" s="28">
        <v>5.0805999999999996</v>
      </c>
      <c r="J113" s="26">
        <v>-0.11940000000000001</v>
      </c>
      <c r="K113" s="27">
        <v>-2.3E-2</v>
      </c>
      <c r="L113" s="10" t="s">
        <v>474</v>
      </c>
      <c r="M113" s="11" t="s">
        <v>44</v>
      </c>
      <c r="N113" s="11" t="s">
        <v>488</v>
      </c>
      <c r="O113" s="13"/>
    </row>
    <row r="114" spans="1:15" x14ac:dyDescent="0.35">
      <c r="A114" s="2" t="s">
        <v>609</v>
      </c>
      <c r="B114" s="3">
        <v>45193</v>
      </c>
      <c r="C114" s="2" t="s">
        <v>337</v>
      </c>
      <c r="D114" s="2" t="s">
        <v>23</v>
      </c>
      <c r="E114" s="2" t="s">
        <v>482</v>
      </c>
      <c r="F114" s="4" t="s">
        <v>484</v>
      </c>
      <c r="G114" s="2" t="s">
        <v>485</v>
      </c>
      <c r="H114" s="25">
        <v>50</v>
      </c>
      <c r="I114" s="25">
        <v>44.149799999999999</v>
      </c>
      <c r="J114" s="26">
        <v>-5.8502000000000001</v>
      </c>
      <c r="K114" s="27">
        <v>-0.11700000000000001</v>
      </c>
      <c r="L114" s="10" t="s">
        <v>474</v>
      </c>
      <c r="M114" s="2" t="s">
        <v>55</v>
      </c>
      <c r="N114" s="2" t="s">
        <v>475</v>
      </c>
      <c r="O114" s="4"/>
    </row>
    <row r="115" spans="1:15" x14ac:dyDescent="0.35">
      <c r="A115" s="11" t="s">
        <v>610</v>
      </c>
      <c r="B115" s="12">
        <v>45076</v>
      </c>
      <c r="C115" s="11" t="s">
        <v>425</v>
      </c>
      <c r="D115" s="11" t="s">
        <v>23</v>
      </c>
      <c r="E115" s="11" t="s">
        <v>494</v>
      </c>
      <c r="F115" s="13" t="s">
        <v>497</v>
      </c>
      <c r="G115" s="11" t="s">
        <v>498</v>
      </c>
      <c r="H115" s="28">
        <v>0.89200000000000002</v>
      </c>
      <c r="I115" s="28">
        <v>0.89059999999999995</v>
      </c>
      <c r="J115" s="26">
        <v>-1.4E-3</v>
      </c>
      <c r="K115" s="27">
        <v>-1.6000000000000001E-3</v>
      </c>
      <c r="L115" s="10" t="s">
        <v>474</v>
      </c>
      <c r="M115" s="11" t="s">
        <v>33</v>
      </c>
      <c r="N115" s="11" t="s">
        <v>499</v>
      </c>
      <c r="O115" s="13"/>
    </row>
    <row r="116" spans="1:15" x14ac:dyDescent="0.35">
      <c r="A116" s="2" t="s">
        <v>611</v>
      </c>
      <c r="B116" s="3">
        <v>45076</v>
      </c>
      <c r="C116" s="2" t="s">
        <v>174</v>
      </c>
      <c r="D116" s="2" t="s">
        <v>31</v>
      </c>
      <c r="E116" s="2" t="s">
        <v>482</v>
      </c>
      <c r="F116" s="4" t="s">
        <v>522</v>
      </c>
      <c r="G116" s="2" t="s">
        <v>523</v>
      </c>
      <c r="H116" s="25">
        <v>65</v>
      </c>
      <c r="I116" s="25">
        <v>64.9255</v>
      </c>
      <c r="J116" s="26">
        <v>-7.4499999999999997E-2</v>
      </c>
      <c r="K116" s="27">
        <v>-1.1000000000000001E-3</v>
      </c>
      <c r="L116" s="10" t="s">
        <v>474</v>
      </c>
      <c r="M116" s="2" t="s">
        <v>33</v>
      </c>
      <c r="N116" s="2" t="s">
        <v>488</v>
      </c>
      <c r="O116" s="4"/>
    </row>
    <row r="117" spans="1:15" x14ac:dyDescent="0.35">
      <c r="A117" s="11" t="s">
        <v>612</v>
      </c>
      <c r="B117" s="12">
        <v>45139</v>
      </c>
      <c r="C117" s="11" t="s">
        <v>182</v>
      </c>
      <c r="D117" s="11" t="s">
        <v>97</v>
      </c>
      <c r="E117" s="11" t="s">
        <v>482</v>
      </c>
      <c r="F117" s="13" t="s">
        <v>508</v>
      </c>
      <c r="G117" s="11" t="s">
        <v>485</v>
      </c>
      <c r="H117" s="28">
        <v>180</v>
      </c>
      <c r="I117" s="28">
        <v>118.4649</v>
      </c>
      <c r="J117" s="29">
        <v>-61.5351</v>
      </c>
      <c r="K117" s="24">
        <v>-0.34189999999999998</v>
      </c>
      <c r="L117" s="20" t="s">
        <v>478</v>
      </c>
      <c r="M117" s="11" t="s">
        <v>26</v>
      </c>
      <c r="N117" s="11" t="s">
        <v>475</v>
      </c>
      <c r="O117" s="13" t="s">
        <v>480</v>
      </c>
    </row>
    <row r="118" spans="1:15" x14ac:dyDescent="0.35">
      <c r="A118" s="2" t="s">
        <v>613</v>
      </c>
      <c r="B118" s="3">
        <v>45184</v>
      </c>
      <c r="C118" s="2" t="s">
        <v>453</v>
      </c>
      <c r="D118" s="2" t="s">
        <v>31</v>
      </c>
      <c r="E118" s="2" t="s">
        <v>482</v>
      </c>
      <c r="F118" s="4" t="s">
        <v>484</v>
      </c>
      <c r="G118" s="2" t="s">
        <v>485</v>
      </c>
      <c r="H118" s="25">
        <v>50</v>
      </c>
      <c r="I118" s="25">
        <v>57.812100000000001</v>
      </c>
      <c r="J118" s="26">
        <v>7.8121</v>
      </c>
      <c r="K118" s="27">
        <v>0.15620000000000001</v>
      </c>
      <c r="L118" s="10" t="s">
        <v>474</v>
      </c>
      <c r="M118" s="2" t="s">
        <v>55</v>
      </c>
      <c r="N118" s="2" t="s">
        <v>488</v>
      </c>
      <c r="O118" s="4"/>
    </row>
    <row r="119" spans="1:15" x14ac:dyDescent="0.35">
      <c r="A119" s="11" t="s">
        <v>614</v>
      </c>
      <c r="B119" s="12">
        <v>45070</v>
      </c>
      <c r="C119" s="11" t="s">
        <v>64</v>
      </c>
      <c r="D119" s="11" t="s">
        <v>31</v>
      </c>
      <c r="E119" s="11" t="s">
        <v>490</v>
      </c>
      <c r="F119" s="13" t="s">
        <v>491</v>
      </c>
      <c r="G119" s="11" t="s">
        <v>492</v>
      </c>
      <c r="H119" s="28">
        <v>3.5</v>
      </c>
      <c r="I119" s="28">
        <v>3.4950999999999999</v>
      </c>
      <c r="J119" s="26">
        <v>-4.8999999999999998E-3</v>
      </c>
      <c r="K119" s="27">
        <v>-1.4E-3</v>
      </c>
      <c r="L119" s="10" t="s">
        <v>474</v>
      </c>
      <c r="M119" s="11" t="s">
        <v>26</v>
      </c>
      <c r="N119" s="11" t="s">
        <v>475</v>
      </c>
      <c r="O119" s="13"/>
    </row>
    <row r="120" spans="1:15" x14ac:dyDescent="0.35">
      <c r="A120" s="2" t="s">
        <v>615</v>
      </c>
      <c r="B120" s="3">
        <v>45093</v>
      </c>
      <c r="C120" s="2" t="s">
        <v>279</v>
      </c>
      <c r="D120" s="2" t="s">
        <v>31</v>
      </c>
      <c r="E120" s="2" t="s">
        <v>471</v>
      </c>
      <c r="F120" s="4" t="s">
        <v>522</v>
      </c>
      <c r="G120" s="2" t="s">
        <v>523</v>
      </c>
      <c r="H120" s="25">
        <v>65</v>
      </c>
      <c r="I120" s="25">
        <v>64.171499999999995</v>
      </c>
      <c r="J120" s="26">
        <v>-0.82850000000000001</v>
      </c>
      <c r="K120" s="27">
        <v>-1.2699999999999999E-2</v>
      </c>
      <c r="L120" s="10" t="s">
        <v>474</v>
      </c>
      <c r="M120" s="2" t="s">
        <v>55</v>
      </c>
      <c r="N120" s="2" t="s">
        <v>499</v>
      </c>
      <c r="O120" s="4"/>
    </row>
    <row r="121" spans="1:15" x14ac:dyDescent="0.35">
      <c r="A121" s="11" t="s">
        <v>616</v>
      </c>
      <c r="B121" s="12">
        <v>45155</v>
      </c>
      <c r="C121" s="11" t="s">
        <v>365</v>
      </c>
      <c r="D121" s="11" t="s">
        <v>31</v>
      </c>
      <c r="E121" s="11" t="s">
        <v>494</v>
      </c>
      <c r="F121" s="13" t="s">
        <v>502</v>
      </c>
      <c r="G121" s="11" t="s">
        <v>503</v>
      </c>
      <c r="H121" s="28">
        <v>0.5</v>
      </c>
      <c r="I121" s="28">
        <v>0.61499999999999999</v>
      </c>
      <c r="J121" s="26">
        <v>0.115</v>
      </c>
      <c r="K121" s="27">
        <v>0.23</v>
      </c>
      <c r="L121" s="10" t="s">
        <v>474</v>
      </c>
      <c r="M121" s="11" t="s">
        <v>59</v>
      </c>
      <c r="N121" s="11" t="s">
        <v>479</v>
      </c>
      <c r="O121" s="13"/>
    </row>
    <row r="122" spans="1:15" x14ac:dyDescent="0.35">
      <c r="A122" s="2" t="s">
        <v>617</v>
      </c>
      <c r="B122" s="3">
        <v>44960</v>
      </c>
      <c r="C122" s="2" t="s">
        <v>170</v>
      </c>
      <c r="D122" s="2" t="s">
        <v>42</v>
      </c>
      <c r="E122" s="2" t="s">
        <v>482</v>
      </c>
      <c r="F122" s="4" t="s">
        <v>472</v>
      </c>
      <c r="G122" s="2" t="s">
        <v>473</v>
      </c>
      <c r="H122" s="25">
        <v>0.08</v>
      </c>
      <c r="I122" s="25">
        <v>2.9100000000000001E-2</v>
      </c>
      <c r="J122" s="29">
        <v>-5.0900000000000001E-2</v>
      </c>
      <c r="K122" s="24">
        <v>-0.63619999999999999</v>
      </c>
      <c r="L122" s="20" t="s">
        <v>478</v>
      </c>
      <c r="M122" s="2" t="s">
        <v>44</v>
      </c>
      <c r="N122" s="2" t="s">
        <v>475</v>
      </c>
      <c r="O122" s="4" t="s">
        <v>480</v>
      </c>
    </row>
    <row r="123" spans="1:15" x14ac:dyDescent="0.35">
      <c r="A123" s="11" t="s">
        <v>618</v>
      </c>
      <c r="B123" s="12">
        <v>45267</v>
      </c>
      <c r="C123" s="11" t="s">
        <v>243</v>
      </c>
      <c r="D123" s="11" t="s">
        <v>51</v>
      </c>
      <c r="E123" s="11" t="s">
        <v>471</v>
      </c>
      <c r="F123" s="13" t="s">
        <v>497</v>
      </c>
      <c r="G123" s="11" t="s">
        <v>498</v>
      </c>
      <c r="H123" s="28">
        <v>0.89200000000000002</v>
      </c>
      <c r="I123" s="28">
        <v>0.90200000000000002</v>
      </c>
      <c r="J123" s="29">
        <v>0.01</v>
      </c>
      <c r="K123" s="24">
        <v>1.12E-2</v>
      </c>
      <c r="L123" s="20" t="s">
        <v>478</v>
      </c>
      <c r="M123" s="11" t="s">
        <v>44</v>
      </c>
      <c r="N123" s="11" t="s">
        <v>479</v>
      </c>
      <c r="O123" s="13" t="s">
        <v>500</v>
      </c>
    </row>
    <row r="124" spans="1:15" x14ac:dyDescent="0.35">
      <c r="A124" s="2" t="s">
        <v>619</v>
      </c>
      <c r="B124" s="3">
        <v>45063</v>
      </c>
      <c r="C124" s="2" t="s">
        <v>363</v>
      </c>
      <c r="D124" s="2" t="s">
        <v>97</v>
      </c>
      <c r="E124" s="2" t="s">
        <v>482</v>
      </c>
      <c r="F124" s="4" t="s">
        <v>508</v>
      </c>
      <c r="G124" s="2" t="s">
        <v>485</v>
      </c>
      <c r="H124" s="25">
        <v>180</v>
      </c>
      <c r="I124" s="25">
        <v>279.59769999999997</v>
      </c>
      <c r="J124" s="29">
        <v>99.597700000000003</v>
      </c>
      <c r="K124" s="24">
        <v>0.55330000000000001</v>
      </c>
      <c r="L124" s="20" t="s">
        <v>478</v>
      </c>
      <c r="M124" s="2" t="s">
        <v>55</v>
      </c>
      <c r="N124" s="2" t="s">
        <v>475</v>
      </c>
      <c r="O124" s="4" t="s">
        <v>480</v>
      </c>
    </row>
    <row r="125" spans="1:15" x14ac:dyDescent="0.35">
      <c r="A125" s="11" t="s">
        <v>620</v>
      </c>
      <c r="B125" s="12">
        <v>44945</v>
      </c>
      <c r="C125" s="11" t="s">
        <v>154</v>
      </c>
      <c r="D125" s="11" t="s">
        <v>42</v>
      </c>
      <c r="E125" s="11" t="s">
        <v>482</v>
      </c>
      <c r="F125" s="13" t="s">
        <v>484</v>
      </c>
      <c r="G125" s="11" t="s">
        <v>485</v>
      </c>
      <c r="H125" s="28">
        <v>50</v>
      </c>
      <c r="I125" s="28">
        <v>57.048400000000001</v>
      </c>
      <c r="J125" s="26">
        <v>7.0484</v>
      </c>
      <c r="K125" s="27">
        <v>0.14099999999999999</v>
      </c>
      <c r="L125" s="10" t="s">
        <v>474</v>
      </c>
      <c r="M125" s="11" t="s">
        <v>55</v>
      </c>
      <c r="N125" s="11" t="s">
        <v>499</v>
      </c>
      <c r="O125" s="13"/>
    </row>
    <row r="126" spans="1:15" x14ac:dyDescent="0.35">
      <c r="A126" s="2" t="s">
        <v>621</v>
      </c>
      <c r="B126" s="3">
        <v>45187</v>
      </c>
      <c r="C126" s="2" t="s">
        <v>129</v>
      </c>
      <c r="D126" s="2" t="s">
        <v>31</v>
      </c>
      <c r="E126" s="2" t="s">
        <v>482</v>
      </c>
      <c r="F126" s="4" t="s">
        <v>522</v>
      </c>
      <c r="G126" s="2" t="s">
        <v>523</v>
      </c>
      <c r="H126" s="25">
        <v>65</v>
      </c>
      <c r="I126" s="25">
        <v>64.414299999999997</v>
      </c>
      <c r="J126" s="26">
        <v>-0.5857</v>
      </c>
      <c r="K126" s="27">
        <v>-8.9999999999999993E-3</v>
      </c>
      <c r="L126" s="10" t="s">
        <v>474</v>
      </c>
      <c r="M126" s="2" t="s">
        <v>55</v>
      </c>
      <c r="N126" s="2" t="s">
        <v>499</v>
      </c>
      <c r="O126" s="4"/>
    </row>
    <row r="127" spans="1:15" x14ac:dyDescent="0.35">
      <c r="A127" s="11" t="s">
        <v>622</v>
      </c>
      <c r="B127" s="12">
        <v>44989</v>
      </c>
      <c r="C127" s="11" t="s">
        <v>315</v>
      </c>
      <c r="D127" s="11" t="s">
        <v>97</v>
      </c>
      <c r="E127" s="11" t="s">
        <v>482</v>
      </c>
      <c r="F127" s="13" t="s">
        <v>522</v>
      </c>
      <c r="G127" s="11" t="s">
        <v>523</v>
      </c>
      <c r="H127" s="28">
        <v>65</v>
      </c>
      <c r="I127" s="28">
        <v>65.55</v>
      </c>
      <c r="J127" s="26">
        <v>0.55000000000000004</v>
      </c>
      <c r="K127" s="27">
        <v>8.5000000000000006E-3</v>
      </c>
      <c r="L127" s="10" t="s">
        <v>474</v>
      </c>
      <c r="M127" s="11" t="s">
        <v>44</v>
      </c>
      <c r="N127" s="11" t="s">
        <v>475</v>
      </c>
      <c r="O127" s="13"/>
    </row>
    <row r="128" spans="1:15" x14ac:dyDescent="0.35">
      <c r="A128" s="2" t="s">
        <v>623</v>
      </c>
      <c r="B128" s="3">
        <v>45002</v>
      </c>
      <c r="C128" s="2" t="s">
        <v>361</v>
      </c>
      <c r="D128" s="2" t="s">
        <v>31</v>
      </c>
      <c r="E128" s="2" t="s">
        <v>477</v>
      </c>
      <c r="F128" s="4" t="s">
        <v>502</v>
      </c>
      <c r="G128" s="2" t="s">
        <v>503</v>
      </c>
      <c r="H128" s="25">
        <v>0.5</v>
      </c>
      <c r="I128" s="25">
        <v>0.45639999999999997</v>
      </c>
      <c r="J128" s="26">
        <v>-4.36E-2</v>
      </c>
      <c r="K128" s="27">
        <v>-8.72E-2</v>
      </c>
      <c r="L128" s="10" t="s">
        <v>474</v>
      </c>
      <c r="M128" s="2" t="s">
        <v>26</v>
      </c>
      <c r="N128" s="2" t="s">
        <v>499</v>
      </c>
      <c r="O128" s="4"/>
    </row>
    <row r="129" spans="1:15" x14ac:dyDescent="0.35">
      <c r="A129" s="11" t="s">
        <v>624</v>
      </c>
      <c r="B129" s="12">
        <v>45059</v>
      </c>
      <c r="C129" s="11" t="s">
        <v>329</v>
      </c>
      <c r="D129" s="11" t="s">
        <v>51</v>
      </c>
      <c r="E129" s="11" t="s">
        <v>471</v>
      </c>
      <c r="F129" s="13" t="s">
        <v>484</v>
      </c>
      <c r="G129" s="11" t="s">
        <v>485</v>
      </c>
      <c r="H129" s="28">
        <v>50</v>
      </c>
      <c r="I129" s="28">
        <v>61.556899999999999</v>
      </c>
      <c r="J129" s="26">
        <v>11.556900000000001</v>
      </c>
      <c r="K129" s="27">
        <v>0.2311</v>
      </c>
      <c r="L129" s="10" t="s">
        <v>474</v>
      </c>
      <c r="M129" s="11" t="s">
        <v>26</v>
      </c>
      <c r="N129" s="11" t="s">
        <v>499</v>
      </c>
      <c r="O129" s="13"/>
    </row>
    <row r="130" spans="1:15" x14ac:dyDescent="0.35">
      <c r="A130" s="2" t="s">
        <v>625</v>
      </c>
      <c r="B130" s="3">
        <v>45072</v>
      </c>
      <c r="C130" s="2" t="s">
        <v>415</v>
      </c>
      <c r="D130" s="2" t="s">
        <v>97</v>
      </c>
      <c r="E130" s="2" t="s">
        <v>490</v>
      </c>
      <c r="F130" s="4" t="s">
        <v>502</v>
      </c>
      <c r="G130" s="2" t="s">
        <v>503</v>
      </c>
      <c r="H130" s="25">
        <v>0.5</v>
      </c>
      <c r="I130" s="25">
        <v>0.50429999999999997</v>
      </c>
      <c r="J130" s="26">
        <v>4.3E-3</v>
      </c>
      <c r="K130" s="27">
        <v>8.6E-3</v>
      </c>
      <c r="L130" s="10" t="s">
        <v>474</v>
      </c>
      <c r="M130" s="2" t="s">
        <v>59</v>
      </c>
      <c r="N130" s="2" t="s">
        <v>499</v>
      </c>
      <c r="O130" s="4"/>
    </row>
    <row r="131" spans="1:15" x14ac:dyDescent="0.35">
      <c r="A131" s="11" t="s">
        <v>626</v>
      </c>
      <c r="B131" s="12">
        <v>45256</v>
      </c>
      <c r="C131" s="11" t="s">
        <v>182</v>
      </c>
      <c r="D131" s="11" t="s">
        <v>31</v>
      </c>
      <c r="E131" s="11" t="s">
        <v>494</v>
      </c>
      <c r="F131" s="13" t="s">
        <v>522</v>
      </c>
      <c r="G131" s="11" t="s">
        <v>523</v>
      </c>
      <c r="H131" s="28">
        <v>65</v>
      </c>
      <c r="I131" s="28">
        <v>64.160700000000006</v>
      </c>
      <c r="J131" s="26">
        <v>-0.83930000000000005</v>
      </c>
      <c r="K131" s="27">
        <v>-1.29E-2</v>
      </c>
      <c r="L131" s="10" t="s">
        <v>474</v>
      </c>
      <c r="M131" s="11" t="s">
        <v>59</v>
      </c>
      <c r="N131" s="11" t="s">
        <v>479</v>
      </c>
      <c r="O131" s="13"/>
    </row>
    <row r="132" spans="1:15" x14ac:dyDescent="0.35">
      <c r="A132" s="2" t="s">
        <v>627</v>
      </c>
      <c r="B132" s="3">
        <v>45035</v>
      </c>
      <c r="C132" s="2" t="s">
        <v>180</v>
      </c>
      <c r="D132" s="2" t="s">
        <v>42</v>
      </c>
      <c r="E132" s="2" t="s">
        <v>471</v>
      </c>
      <c r="F132" s="4" t="s">
        <v>508</v>
      </c>
      <c r="G132" s="2" t="s">
        <v>485</v>
      </c>
      <c r="H132" s="25">
        <v>180</v>
      </c>
      <c r="I132" s="25">
        <v>194.14580000000001</v>
      </c>
      <c r="J132" s="26">
        <v>14.145799999999999</v>
      </c>
      <c r="K132" s="27">
        <v>7.8600000000000003E-2</v>
      </c>
      <c r="L132" s="10" t="s">
        <v>474</v>
      </c>
      <c r="M132" s="2" t="s">
        <v>44</v>
      </c>
      <c r="N132" s="2" t="s">
        <v>488</v>
      </c>
      <c r="O132" s="4"/>
    </row>
    <row r="133" spans="1:15" x14ac:dyDescent="0.35">
      <c r="A133" s="11" t="s">
        <v>628</v>
      </c>
      <c r="B133" s="12">
        <v>44939</v>
      </c>
      <c r="C133" s="11" t="s">
        <v>253</v>
      </c>
      <c r="D133" s="11" t="s">
        <v>31</v>
      </c>
      <c r="E133" s="11" t="s">
        <v>494</v>
      </c>
      <c r="F133" s="13" t="s">
        <v>491</v>
      </c>
      <c r="G133" s="11" t="s">
        <v>492</v>
      </c>
      <c r="H133" s="28">
        <v>3.5</v>
      </c>
      <c r="I133" s="28">
        <v>3.2723</v>
      </c>
      <c r="J133" s="26">
        <v>-0.22770000000000001</v>
      </c>
      <c r="K133" s="27">
        <v>-6.5100000000000005E-2</v>
      </c>
      <c r="L133" s="10" t="s">
        <v>474</v>
      </c>
      <c r="M133" s="11" t="s">
        <v>59</v>
      </c>
      <c r="N133" s="11" t="s">
        <v>499</v>
      </c>
      <c r="O133" s="13"/>
    </row>
    <row r="134" spans="1:15" x14ac:dyDescent="0.35">
      <c r="A134" s="2" t="s">
        <v>629</v>
      </c>
      <c r="B134" s="3">
        <v>45283</v>
      </c>
      <c r="C134" s="2" t="s">
        <v>373</v>
      </c>
      <c r="D134" s="2" t="s">
        <v>23</v>
      </c>
      <c r="E134" s="2" t="s">
        <v>471</v>
      </c>
      <c r="F134" s="4" t="s">
        <v>522</v>
      </c>
      <c r="G134" s="2" t="s">
        <v>523</v>
      </c>
      <c r="H134" s="25">
        <v>65</v>
      </c>
      <c r="I134" s="25">
        <v>62.271999999999998</v>
      </c>
      <c r="J134" s="29">
        <v>-2.7280000000000002</v>
      </c>
      <c r="K134" s="24">
        <v>-4.2000000000000003E-2</v>
      </c>
      <c r="L134" s="20" t="s">
        <v>478</v>
      </c>
      <c r="M134" s="2" t="s">
        <v>59</v>
      </c>
      <c r="N134" s="2" t="s">
        <v>479</v>
      </c>
      <c r="O134" s="4" t="s">
        <v>500</v>
      </c>
    </row>
    <row r="135" spans="1:15" x14ac:dyDescent="0.35">
      <c r="A135" s="11" t="s">
        <v>630</v>
      </c>
      <c r="B135" s="12">
        <v>44931</v>
      </c>
      <c r="C135" s="11" t="s">
        <v>275</v>
      </c>
      <c r="D135" s="11" t="s">
        <v>51</v>
      </c>
      <c r="E135" s="11" t="s">
        <v>482</v>
      </c>
      <c r="F135" s="13" t="s">
        <v>484</v>
      </c>
      <c r="G135" s="11" t="s">
        <v>485</v>
      </c>
      <c r="H135" s="28">
        <v>50</v>
      </c>
      <c r="I135" s="28">
        <v>24.478400000000001</v>
      </c>
      <c r="J135" s="29">
        <v>-25.521599999999999</v>
      </c>
      <c r="K135" s="24">
        <v>-0.51039999999999996</v>
      </c>
      <c r="L135" s="20" t="s">
        <v>478</v>
      </c>
      <c r="M135" s="11" t="s">
        <v>33</v>
      </c>
      <c r="N135" s="11" t="s">
        <v>479</v>
      </c>
      <c r="O135" s="13" t="s">
        <v>480</v>
      </c>
    </row>
    <row r="136" spans="1:15" x14ac:dyDescent="0.35">
      <c r="A136" s="2" t="s">
        <v>631</v>
      </c>
      <c r="B136" s="3">
        <v>45190</v>
      </c>
      <c r="C136" s="2" t="s">
        <v>341</v>
      </c>
      <c r="D136" s="2" t="s">
        <v>23</v>
      </c>
      <c r="E136" s="2" t="s">
        <v>494</v>
      </c>
      <c r="F136" s="4" t="s">
        <v>522</v>
      </c>
      <c r="G136" s="2" t="s">
        <v>523</v>
      </c>
      <c r="H136" s="25">
        <v>65</v>
      </c>
      <c r="I136" s="25">
        <v>65.252200000000002</v>
      </c>
      <c r="J136" s="26">
        <v>0.25219999999999998</v>
      </c>
      <c r="K136" s="27">
        <v>3.8999999999999998E-3</v>
      </c>
      <c r="L136" s="10" t="s">
        <v>474</v>
      </c>
      <c r="M136" s="2" t="s">
        <v>33</v>
      </c>
      <c r="N136" s="2" t="s">
        <v>499</v>
      </c>
      <c r="O136" s="4"/>
    </row>
    <row r="137" spans="1:15" x14ac:dyDescent="0.35">
      <c r="A137" s="11" t="s">
        <v>632</v>
      </c>
      <c r="B137" s="12">
        <v>44973</v>
      </c>
      <c r="C137" s="11" t="s">
        <v>190</v>
      </c>
      <c r="D137" s="11" t="s">
        <v>51</v>
      </c>
      <c r="E137" s="11" t="s">
        <v>477</v>
      </c>
      <c r="F137" s="13" t="s">
        <v>484</v>
      </c>
      <c r="G137" s="11" t="s">
        <v>485</v>
      </c>
      <c r="H137" s="28">
        <v>50</v>
      </c>
      <c r="I137" s="28">
        <v>54.802900000000001</v>
      </c>
      <c r="J137" s="26">
        <v>4.8029000000000002</v>
      </c>
      <c r="K137" s="27">
        <v>9.6100000000000005E-2</v>
      </c>
      <c r="L137" s="10" t="s">
        <v>474</v>
      </c>
      <c r="M137" s="11" t="s">
        <v>33</v>
      </c>
      <c r="N137" s="11" t="s">
        <v>499</v>
      </c>
      <c r="O137" s="13"/>
    </row>
    <row r="138" spans="1:15" x14ac:dyDescent="0.35">
      <c r="A138" s="2" t="s">
        <v>633</v>
      </c>
      <c r="B138" s="3">
        <v>45024</v>
      </c>
      <c r="C138" s="2" t="s">
        <v>121</v>
      </c>
      <c r="D138" s="2" t="s">
        <v>23</v>
      </c>
      <c r="E138" s="2" t="s">
        <v>494</v>
      </c>
      <c r="F138" s="4" t="s">
        <v>508</v>
      </c>
      <c r="G138" s="2" t="s">
        <v>485</v>
      </c>
      <c r="H138" s="25">
        <v>180</v>
      </c>
      <c r="I138" s="25">
        <v>172.64230000000001</v>
      </c>
      <c r="J138" s="26">
        <v>-7.3577000000000004</v>
      </c>
      <c r="K138" s="27">
        <v>-4.0899999999999999E-2</v>
      </c>
      <c r="L138" s="10" t="s">
        <v>474</v>
      </c>
      <c r="M138" s="2" t="s">
        <v>59</v>
      </c>
      <c r="N138" s="2" t="s">
        <v>479</v>
      </c>
      <c r="O138" s="4"/>
    </row>
    <row r="139" spans="1:15" x14ac:dyDescent="0.35">
      <c r="A139" s="11" t="s">
        <v>634</v>
      </c>
      <c r="B139" s="12">
        <v>45171</v>
      </c>
      <c r="C139" s="11" t="s">
        <v>174</v>
      </c>
      <c r="D139" s="11" t="s">
        <v>42</v>
      </c>
      <c r="E139" s="11" t="s">
        <v>494</v>
      </c>
      <c r="F139" s="13" t="s">
        <v>487</v>
      </c>
      <c r="G139" s="11" t="s">
        <v>487</v>
      </c>
      <c r="H139" s="28">
        <v>5.2</v>
      </c>
      <c r="I139" s="28">
        <v>5.1132</v>
      </c>
      <c r="J139" s="26">
        <v>-8.6800000000000002E-2</v>
      </c>
      <c r="K139" s="27">
        <v>-1.67E-2</v>
      </c>
      <c r="L139" s="10" t="s">
        <v>474</v>
      </c>
      <c r="M139" s="11" t="s">
        <v>55</v>
      </c>
      <c r="N139" s="11" t="s">
        <v>479</v>
      </c>
      <c r="O139" s="13"/>
    </row>
    <row r="140" spans="1:15" x14ac:dyDescent="0.35">
      <c r="A140" s="2" t="s">
        <v>635</v>
      </c>
      <c r="B140" s="3">
        <v>45254</v>
      </c>
      <c r="C140" s="2" t="s">
        <v>267</v>
      </c>
      <c r="D140" s="2" t="s">
        <v>97</v>
      </c>
      <c r="E140" s="2" t="s">
        <v>490</v>
      </c>
      <c r="F140" s="4" t="s">
        <v>508</v>
      </c>
      <c r="G140" s="2" t="s">
        <v>485</v>
      </c>
      <c r="H140" s="25">
        <v>180</v>
      </c>
      <c r="I140" s="25">
        <v>179.28389999999999</v>
      </c>
      <c r="J140" s="26">
        <v>-0.71609999999999996</v>
      </c>
      <c r="K140" s="27">
        <v>-4.0000000000000001E-3</v>
      </c>
      <c r="L140" s="10" t="s">
        <v>474</v>
      </c>
      <c r="M140" s="2" t="s">
        <v>44</v>
      </c>
      <c r="N140" s="2" t="s">
        <v>488</v>
      </c>
      <c r="O140" s="4"/>
    </row>
    <row r="141" spans="1:15" x14ac:dyDescent="0.35">
      <c r="A141" s="11" t="s">
        <v>636</v>
      </c>
      <c r="B141" s="12">
        <v>45014</v>
      </c>
      <c r="C141" s="11" t="s">
        <v>222</v>
      </c>
      <c r="D141" s="11" t="s">
        <v>42</v>
      </c>
      <c r="E141" s="11" t="s">
        <v>471</v>
      </c>
      <c r="F141" s="13" t="s">
        <v>487</v>
      </c>
      <c r="G141" s="11" t="s">
        <v>487</v>
      </c>
      <c r="H141" s="28">
        <v>5.2</v>
      </c>
      <c r="I141" s="28">
        <v>5.3970000000000002</v>
      </c>
      <c r="J141" s="26">
        <v>0.19700000000000001</v>
      </c>
      <c r="K141" s="27">
        <v>3.7900000000000003E-2</v>
      </c>
      <c r="L141" s="10" t="s">
        <v>474</v>
      </c>
      <c r="M141" s="11" t="s">
        <v>26</v>
      </c>
      <c r="N141" s="11" t="s">
        <v>479</v>
      </c>
      <c r="O141" s="13"/>
    </row>
    <row r="142" spans="1:15" x14ac:dyDescent="0.35">
      <c r="A142" s="2" t="s">
        <v>637</v>
      </c>
      <c r="B142" s="3">
        <v>45040</v>
      </c>
      <c r="C142" s="2" t="s">
        <v>443</v>
      </c>
      <c r="D142" s="2" t="s">
        <v>42</v>
      </c>
      <c r="E142" s="2" t="s">
        <v>471</v>
      </c>
      <c r="F142" s="4" t="s">
        <v>472</v>
      </c>
      <c r="G142" s="2" t="s">
        <v>473</v>
      </c>
      <c r="H142" s="25">
        <v>0.08</v>
      </c>
      <c r="I142" s="25">
        <v>8.1199999999999994E-2</v>
      </c>
      <c r="J142" s="26">
        <v>1.1999999999999999E-3</v>
      </c>
      <c r="K142" s="27">
        <v>1.4999999999999999E-2</v>
      </c>
      <c r="L142" s="10" t="s">
        <v>474</v>
      </c>
      <c r="M142" s="2" t="s">
        <v>55</v>
      </c>
      <c r="N142" s="2" t="s">
        <v>499</v>
      </c>
      <c r="O142" s="4"/>
    </row>
    <row r="143" spans="1:15" x14ac:dyDescent="0.35">
      <c r="A143" s="11" t="s">
        <v>638</v>
      </c>
      <c r="B143" s="12">
        <v>45265</v>
      </c>
      <c r="C143" s="11" t="s">
        <v>391</v>
      </c>
      <c r="D143" s="11" t="s">
        <v>51</v>
      </c>
      <c r="E143" s="11" t="s">
        <v>482</v>
      </c>
      <c r="F143" s="13" t="s">
        <v>487</v>
      </c>
      <c r="G143" s="11" t="s">
        <v>487</v>
      </c>
      <c r="H143" s="28">
        <v>5.2</v>
      </c>
      <c r="I143" s="28">
        <v>5.1717000000000004</v>
      </c>
      <c r="J143" s="26">
        <v>-2.8299999999999999E-2</v>
      </c>
      <c r="K143" s="27">
        <v>-5.4000000000000003E-3</v>
      </c>
      <c r="L143" s="10" t="s">
        <v>474</v>
      </c>
      <c r="M143" s="11" t="s">
        <v>44</v>
      </c>
      <c r="N143" s="11" t="s">
        <v>499</v>
      </c>
      <c r="O143" s="13"/>
    </row>
    <row r="144" spans="1:15" x14ac:dyDescent="0.35">
      <c r="A144" s="2" t="s">
        <v>639</v>
      </c>
      <c r="B144" s="3">
        <v>45240</v>
      </c>
      <c r="C144" s="2" t="s">
        <v>359</v>
      </c>
      <c r="D144" s="2" t="s">
        <v>97</v>
      </c>
      <c r="E144" s="2" t="s">
        <v>490</v>
      </c>
      <c r="F144" s="4" t="s">
        <v>497</v>
      </c>
      <c r="G144" s="2" t="s">
        <v>498</v>
      </c>
      <c r="H144" s="25">
        <v>0.89200000000000002</v>
      </c>
      <c r="I144" s="25">
        <v>0.89190000000000003</v>
      </c>
      <c r="J144" s="26">
        <v>-1E-4</v>
      </c>
      <c r="K144" s="27">
        <v>-1E-4</v>
      </c>
      <c r="L144" s="10" t="s">
        <v>474</v>
      </c>
      <c r="M144" s="2" t="s">
        <v>26</v>
      </c>
      <c r="N144" s="2" t="s">
        <v>479</v>
      </c>
      <c r="O144" s="4"/>
    </row>
    <row r="145" spans="1:15" x14ac:dyDescent="0.35">
      <c r="A145" s="11" t="s">
        <v>640</v>
      </c>
      <c r="B145" s="12">
        <v>45136</v>
      </c>
      <c r="C145" s="11" t="s">
        <v>214</v>
      </c>
      <c r="D145" s="11" t="s">
        <v>97</v>
      </c>
      <c r="E145" s="11" t="s">
        <v>490</v>
      </c>
      <c r="F145" s="13" t="s">
        <v>472</v>
      </c>
      <c r="G145" s="11" t="s">
        <v>473</v>
      </c>
      <c r="H145" s="28">
        <v>0.08</v>
      </c>
      <c r="I145" s="28">
        <v>5.6500000000000002E-2</v>
      </c>
      <c r="J145" s="26">
        <v>-2.35E-2</v>
      </c>
      <c r="K145" s="27">
        <v>-0.29380000000000001</v>
      </c>
      <c r="L145" s="10" t="s">
        <v>474</v>
      </c>
      <c r="M145" s="11" t="s">
        <v>59</v>
      </c>
      <c r="N145" s="11" t="s">
        <v>475</v>
      </c>
      <c r="O145" s="13"/>
    </row>
    <row r="146" spans="1:15" x14ac:dyDescent="0.35">
      <c r="A146" s="2" t="s">
        <v>641</v>
      </c>
      <c r="B146" s="3">
        <v>44939</v>
      </c>
      <c r="C146" s="2" t="s">
        <v>291</v>
      </c>
      <c r="D146" s="2" t="s">
        <v>42</v>
      </c>
      <c r="E146" s="2" t="s">
        <v>490</v>
      </c>
      <c r="F146" s="4" t="s">
        <v>497</v>
      </c>
      <c r="G146" s="2" t="s">
        <v>498</v>
      </c>
      <c r="H146" s="25">
        <v>0.89200000000000002</v>
      </c>
      <c r="I146" s="25">
        <v>0.88900000000000001</v>
      </c>
      <c r="J146" s="26">
        <v>-3.0000000000000001E-3</v>
      </c>
      <c r="K146" s="27">
        <v>-3.3999999999999998E-3</v>
      </c>
      <c r="L146" s="10" t="s">
        <v>474</v>
      </c>
      <c r="M146" s="2" t="s">
        <v>55</v>
      </c>
      <c r="N146" s="2" t="s">
        <v>499</v>
      </c>
      <c r="O146" s="4"/>
    </row>
    <row r="147" spans="1:15" x14ac:dyDescent="0.35">
      <c r="A147" s="11" t="s">
        <v>642</v>
      </c>
      <c r="B147" s="12">
        <v>45193</v>
      </c>
      <c r="C147" s="11" t="s">
        <v>413</v>
      </c>
      <c r="D147" s="11" t="s">
        <v>23</v>
      </c>
      <c r="E147" s="11" t="s">
        <v>490</v>
      </c>
      <c r="F147" s="13" t="s">
        <v>491</v>
      </c>
      <c r="G147" s="11" t="s">
        <v>492</v>
      </c>
      <c r="H147" s="28">
        <v>3.5</v>
      </c>
      <c r="I147" s="28">
        <v>1.9617</v>
      </c>
      <c r="J147" s="29">
        <v>-1.5383</v>
      </c>
      <c r="K147" s="24">
        <v>-0.4395</v>
      </c>
      <c r="L147" s="20" t="s">
        <v>478</v>
      </c>
      <c r="M147" s="11" t="s">
        <v>55</v>
      </c>
      <c r="N147" s="11" t="s">
        <v>479</v>
      </c>
      <c r="O147" s="13" t="s">
        <v>480</v>
      </c>
    </row>
    <row r="148" spans="1:15" x14ac:dyDescent="0.35">
      <c r="A148" s="2" t="s">
        <v>643</v>
      </c>
      <c r="B148" s="3">
        <v>44931</v>
      </c>
      <c r="C148" s="2" t="s">
        <v>437</v>
      </c>
      <c r="D148" s="2" t="s">
        <v>42</v>
      </c>
      <c r="E148" s="2" t="s">
        <v>471</v>
      </c>
      <c r="F148" s="4" t="s">
        <v>472</v>
      </c>
      <c r="G148" s="2" t="s">
        <v>473</v>
      </c>
      <c r="H148" s="25">
        <v>0.08</v>
      </c>
      <c r="I148" s="25">
        <v>8.3900000000000002E-2</v>
      </c>
      <c r="J148" s="26">
        <v>3.8999999999999998E-3</v>
      </c>
      <c r="K148" s="27">
        <v>4.87E-2</v>
      </c>
      <c r="L148" s="10" t="s">
        <v>474</v>
      </c>
      <c r="M148" s="2" t="s">
        <v>26</v>
      </c>
      <c r="N148" s="2" t="s">
        <v>488</v>
      </c>
      <c r="O148" s="4"/>
    </row>
    <row r="149" spans="1:15" x14ac:dyDescent="0.35">
      <c r="A149" s="11" t="s">
        <v>644</v>
      </c>
      <c r="B149" s="12">
        <v>44974</v>
      </c>
      <c r="C149" s="11" t="s">
        <v>198</v>
      </c>
      <c r="D149" s="11" t="s">
        <v>97</v>
      </c>
      <c r="E149" s="11" t="s">
        <v>482</v>
      </c>
      <c r="F149" s="13" t="s">
        <v>487</v>
      </c>
      <c r="G149" s="11" t="s">
        <v>487</v>
      </c>
      <c r="H149" s="28">
        <v>5.2</v>
      </c>
      <c r="I149" s="28">
        <v>4.7328000000000001</v>
      </c>
      <c r="J149" s="29">
        <v>-0.4672</v>
      </c>
      <c r="K149" s="24">
        <v>-8.9800000000000005E-2</v>
      </c>
      <c r="L149" s="20" t="s">
        <v>478</v>
      </c>
      <c r="M149" s="11" t="s">
        <v>26</v>
      </c>
      <c r="N149" s="11" t="s">
        <v>479</v>
      </c>
      <c r="O149" s="13" t="s">
        <v>480</v>
      </c>
    </row>
    <row r="150" spans="1:15" x14ac:dyDescent="0.35">
      <c r="A150" s="2" t="s">
        <v>645</v>
      </c>
      <c r="B150" s="3">
        <v>45274</v>
      </c>
      <c r="C150" s="2" t="s">
        <v>405</v>
      </c>
      <c r="D150" s="2" t="s">
        <v>31</v>
      </c>
      <c r="E150" s="2" t="s">
        <v>494</v>
      </c>
      <c r="F150" s="4" t="s">
        <v>502</v>
      </c>
      <c r="G150" s="2" t="s">
        <v>503</v>
      </c>
      <c r="H150" s="25">
        <v>0.5</v>
      </c>
      <c r="I150" s="25">
        <v>0.62239999999999995</v>
      </c>
      <c r="J150" s="26">
        <v>0.12239999999999999</v>
      </c>
      <c r="K150" s="27">
        <v>0.24479999999999999</v>
      </c>
      <c r="L150" s="10" t="s">
        <v>474</v>
      </c>
      <c r="M150" s="2" t="s">
        <v>26</v>
      </c>
      <c r="N150" s="2" t="s">
        <v>475</v>
      </c>
      <c r="O150" s="4"/>
    </row>
    <row r="151" spans="1:15" x14ac:dyDescent="0.35">
      <c r="A151" s="11" t="s">
        <v>646</v>
      </c>
      <c r="B151" s="12">
        <v>44983</v>
      </c>
      <c r="C151" s="11" t="s">
        <v>449</v>
      </c>
      <c r="D151" s="11" t="s">
        <v>42</v>
      </c>
      <c r="E151" s="11" t="s">
        <v>477</v>
      </c>
      <c r="F151" s="13" t="s">
        <v>522</v>
      </c>
      <c r="G151" s="11" t="s">
        <v>523</v>
      </c>
      <c r="H151" s="28">
        <v>65</v>
      </c>
      <c r="I151" s="28">
        <v>65.941199999999995</v>
      </c>
      <c r="J151" s="26">
        <v>0.94120000000000004</v>
      </c>
      <c r="K151" s="27">
        <v>1.4500000000000001E-2</v>
      </c>
      <c r="L151" s="10" t="s">
        <v>474</v>
      </c>
      <c r="M151" s="11" t="s">
        <v>26</v>
      </c>
      <c r="N151" s="11" t="s">
        <v>488</v>
      </c>
      <c r="O151" s="13"/>
    </row>
  </sheetData>
  <autoFilter ref="A1:O1" xr:uid="{00000000-0009-0000-0000-000001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392B"/>
  </sheetPr>
  <dimension ref="A1:Q91"/>
  <sheetViews>
    <sheetView workbookViewId="0">
      <pane ySplit="1" topLeftCell="A2" activePane="bottomLeft" state="frozen"/>
      <selection pane="bottomLeft"/>
    </sheetView>
  </sheetViews>
  <sheetFormatPr defaultRowHeight="14.5" x14ac:dyDescent="0.35"/>
  <cols>
    <col min="1" max="1" width="16" customWidth="1"/>
    <col min="2" max="2" width="14" customWidth="1"/>
    <col min="3" max="4" width="10" customWidth="1"/>
    <col min="5" max="5" width="16" customWidth="1"/>
    <col min="6" max="6" width="28" customWidth="1"/>
    <col min="7" max="7" width="11" customWidth="1"/>
    <col min="8" max="8" width="12" customWidth="1"/>
    <col min="9" max="11" width="14" customWidth="1"/>
    <col min="12" max="12" width="32" customWidth="1"/>
    <col min="13" max="13" width="38" customWidth="1"/>
    <col min="14" max="14" width="14" customWidth="1"/>
    <col min="15" max="16" width="15" customWidth="1"/>
    <col min="17" max="17" width="14" customWidth="1"/>
  </cols>
  <sheetData>
    <row r="1" spans="1:17" ht="28" customHeight="1" x14ac:dyDescent="0.35">
      <c r="A1" s="1" t="s">
        <v>647</v>
      </c>
      <c r="B1" s="1" t="s">
        <v>648</v>
      </c>
      <c r="C1" s="1" t="s">
        <v>2</v>
      </c>
      <c r="D1" s="1" t="s">
        <v>460</v>
      </c>
      <c r="E1" s="1" t="s">
        <v>459</v>
      </c>
      <c r="F1" s="1" t="s">
        <v>649</v>
      </c>
      <c r="G1" s="1" t="s">
        <v>650</v>
      </c>
      <c r="H1" s="1" t="s">
        <v>651</v>
      </c>
      <c r="I1" s="1" t="s">
        <v>652</v>
      </c>
      <c r="J1" s="1" t="s">
        <v>653</v>
      </c>
      <c r="K1" s="1" t="s">
        <v>466</v>
      </c>
      <c r="L1" s="1" t="s">
        <v>654</v>
      </c>
      <c r="M1" s="1" t="s">
        <v>655</v>
      </c>
      <c r="N1" s="1" t="s">
        <v>656</v>
      </c>
      <c r="O1" s="1" t="s">
        <v>657</v>
      </c>
      <c r="P1" s="1" t="s">
        <v>658</v>
      </c>
      <c r="Q1" s="1" t="s">
        <v>659</v>
      </c>
    </row>
    <row r="2" spans="1:17" x14ac:dyDescent="0.35">
      <c r="A2" s="2" t="s">
        <v>660</v>
      </c>
      <c r="B2" s="3">
        <v>45024</v>
      </c>
      <c r="C2" s="2" t="s">
        <v>51</v>
      </c>
      <c r="D2" s="2" t="s">
        <v>661</v>
      </c>
      <c r="E2" s="2" t="s">
        <v>359</v>
      </c>
      <c r="F2" s="4" t="s">
        <v>662</v>
      </c>
      <c r="G2" s="10" t="s">
        <v>663</v>
      </c>
      <c r="H2" s="2" t="s">
        <v>55</v>
      </c>
      <c r="I2" s="30">
        <v>364.39</v>
      </c>
      <c r="J2" s="30">
        <v>396.08</v>
      </c>
      <c r="K2" s="27">
        <v>-0.08</v>
      </c>
      <c r="L2" s="4" t="s">
        <v>664</v>
      </c>
      <c r="M2" s="4" t="s">
        <v>665</v>
      </c>
      <c r="N2" s="10" t="s">
        <v>666</v>
      </c>
      <c r="O2" s="3">
        <v>45035</v>
      </c>
      <c r="P2" s="31">
        <v>11</v>
      </c>
      <c r="Q2" s="2" t="s">
        <v>44</v>
      </c>
    </row>
    <row r="3" spans="1:17" x14ac:dyDescent="0.35">
      <c r="A3" s="11" t="s">
        <v>667</v>
      </c>
      <c r="B3" s="12">
        <v>44983</v>
      </c>
      <c r="C3" s="11" t="s">
        <v>23</v>
      </c>
      <c r="D3" s="11" t="s">
        <v>477</v>
      </c>
      <c r="E3" s="11" t="s">
        <v>365</v>
      </c>
      <c r="F3" s="13" t="s">
        <v>668</v>
      </c>
      <c r="G3" s="20" t="s">
        <v>669</v>
      </c>
      <c r="H3" s="11" t="s">
        <v>26</v>
      </c>
      <c r="I3" s="32">
        <v>244.01</v>
      </c>
      <c r="J3" s="32">
        <v>256.85000000000002</v>
      </c>
      <c r="K3" s="24">
        <v>-0.05</v>
      </c>
      <c r="L3" s="13" t="s">
        <v>670</v>
      </c>
      <c r="M3" s="13" t="s">
        <v>671</v>
      </c>
      <c r="N3" s="33" t="s">
        <v>672</v>
      </c>
      <c r="O3" s="12"/>
      <c r="P3" s="34"/>
      <c r="Q3" s="11"/>
    </row>
    <row r="4" spans="1:17" x14ac:dyDescent="0.35">
      <c r="A4" s="2" t="s">
        <v>673</v>
      </c>
      <c r="B4" s="3">
        <v>44997</v>
      </c>
      <c r="C4" s="2" t="s">
        <v>42</v>
      </c>
      <c r="D4" s="2" t="s">
        <v>490</v>
      </c>
      <c r="E4" s="2" t="s">
        <v>397</v>
      </c>
      <c r="F4" s="4" t="s">
        <v>674</v>
      </c>
      <c r="G4" s="35" t="s">
        <v>675</v>
      </c>
      <c r="H4" s="2" t="s">
        <v>44</v>
      </c>
      <c r="I4" s="30">
        <v>154.15</v>
      </c>
      <c r="J4" s="30">
        <v>158.91999999999999</v>
      </c>
      <c r="K4" s="36">
        <v>-0.03</v>
      </c>
      <c r="L4" s="4" t="s">
        <v>676</v>
      </c>
      <c r="M4" s="4" t="s">
        <v>677</v>
      </c>
      <c r="N4" s="10" t="s">
        <v>666</v>
      </c>
      <c r="O4" s="3">
        <v>45002</v>
      </c>
      <c r="P4" s="31">
        <v>5</v>
      </c>
      <c r="Q4" s="2" t="s">
        <v>33</v>
      </c>
    </row>
    <row r="5" spans="1:17" x14ac:dyDescent="0.35">
      <c r="A5" s="11" t="s">
        <v>678</v>
      </c>
      <c r="B5" s="12">
        <v>45074</v>
      </c>
      <c r="C5" s="11" t="s">
        <v>51</v>
      </c>
      <c r="D5" s="11" t="s">
        <v>661</v>
      </c>
      <c r="E5" s="11" t="s">
        <v>53</v>
      </c>
      <c r="F5" s="13" t="s">
        <v>679</v>
      </c>
      <c r="G5" s="33" t="s">
        <v>680</v>
      </c>
      <c r="H5" s="11" t="s">
        <v>44</v>
      </c>
      <c r="I5" s="32">
        <v>75.05</v>
      </c>
      <c r="J5" s="32">
        <v>83.39</v>
      </c>
      <c r="K5" s="22">
        <v>-0.1</v>
      </c>
      <c r="L5" s="13" t="s">
        <v>681</v>
      </c>
      <c r="M5" s="13" t="s">
        <v>682</v>
      </c>
      <c r="N5" s="10" t="s">
        <v>666</v>
      </c>
      <c r="O5" s="12">
        <v>45091</v>
      </c>
      <c r="P5" s="34">
        <v>17</v>
      </c>
      <c r="Q5" s="11" t="s">
        <v>59</v>
      </c>
    </row>
    <row r="6" spans="1:17" x14ac:dyDescent="0.35">
      <c r="A6" s="2" t="s">
        <v>683</v>
      </c>
      <c r="B6" s="3">
        <v>45117</v>
      </c>
      <c r="C6" s="2" t="s">
        <v>23</v>
      </c>
      <c r="D6" s="2" t="s">
        <v>684</v>
      </c>
      <c r="E6" s="2" t="s">
        <v>180</v>
      </c>
      <c r="F6" s="4" t="s">
        <v>685</v>
      </c>
      <c r="G6" s="20" t="s">
        <v>669</v>
      </c>
      <c r="H6" s="2" t="s">
        <v>44</v>
      </c>
      <c r="I6" s="30">
        <v>283.02</v>
      </c>
      <c r="J6" s="30">
        <v>353.78</v>
      </c>
      <c r="K6" s="24">
        <v>-0.2</v>
      </c>
      <c r="L6" s="4" t="s">
        <v>686</v>
      </c>
      <c r="M6" s="4" t="s">
        <v>665</v>
      </c>
      <c r="N6" s="10" t="s">
        <v>666</v>
      </c>
      <c r="O6" s="3">
        <v>45124</v>
      </c>
      <c r="P6" s="31">
        <v>7</v>
      </c>
      <c r="Q6" s="2" t="s">
        <v>55</v>
      </c>
    </row>
    <row r="7" spans="1:17" x14ac:dyDescent="0.35">
      <c r="A7" s="11" t="s">
        <v>687</v>
      </c>
      <c r="B7" s="12">
        <v>44955</v>
      </c>
      <c r="C7" s="11" t="s">
        <v>31</v>
      </c>
      <c r="D7" s="11" t="s">
        <v>482</v>
      </c>
      <c r="E7" s="11" t="s">
        <v>64</v>
      </c>
      <c r="F7" s="13" t="s">
        <v>688</v>
      </c>
      <c r="G7" s="33" t="s">
        <v>680</v>
      </c>
      <c r="H7" s="11" t="s">
        <v>33</v>
      </c>
      <c r="I7" s="32">
        <v>107.22</v>
      </c>
      <c r="J7" s="32">
        <v>110.54</v>
      </c>
      <c r="K7" s="22">
        <v>-0.03</v>
      </c>
      <c r="L7" s="13" t="s">
        <v>681</v>
      </c>
      <c r="M7" s="13" t="s">
        <v>689</v>
      </c>
      <c r="N7" s="33" t="s">
        <v>672</v>
      </c>
      <c r="O7" s="12"/>
      <c r="P7" s="34"/>
      <c r="Q7" s="11"/>
    </row>
    <row r="8" spans="1:17" x14ac:dyDescent="0.35">
      <c r="A8" s="2" t="s">
        <v>690</v>
      </c>
      <c r="B8" s="3">
        <v>45288</v>
      </c>
      <c r="C8" s="2" t="s">
        <v>31</v>
      </c>
      <c r="D8" s="2" t="s">
        <v>691</v>
      </c>
      <c r="E8" s="2" t="s">
        <v>22</v>
      </c>
      <c r="F8" s="4" t="s">
        <v>688</v>
      </c>
      <c r="G8" s="20" t="s">
        <v>669</v>
      </c>
      <c r="H8" s="2" t="s">
        <v>44</v>
      </c>
      <c r="I8" s="30">
        <v>227.43</v>
      </c>
      <c r="J8" s="30">
        <v>239.4</v>
      </c>
      <c r="K8" s="24">
        <v>-0.05</v>
      </c>
      <c r="L8" s="4" t="s">
        <v>692</v>
      </c>
      <c r="M8" s="4" t="s">
        <v>693</v>
      </c>
      <c r="N8" s="10" t="s">
        <v>666</v>
      </c>
      <c r="O8" s="3">
        <v>45297</v>
      </c>
      <c r="P8" s="31">
        <v>9</v>
      </c>
      <c r="Q8" s="2" t="s">
        <v>33</v>
      </c>
    </row>
    <row r="9" spans="1:17" x14ac:dyDescent="0.35">
      <c r="A9" s="11" t="s">
        <v>694</v>
      </c>
      <c r="B9" s="12">
        <v>45154</v>
      </c>
      <c r="C9" s="11" t="s">
        <v>23</v>
      </c>
      <c r="D9" s="11" t="s">
        <v>684</v>
      </c>
      <c r="E9" s="11" t="s">
        <v>137</v>
      </c>
      <c r="F9" s="13" t="s">
        <v>695</v>
      </c>
      <c r="G9" s="35" t="s">
        <v>675</v>
      </c>
      <c r="H9" s="11" t="s">
        <v>26</v>
      </c>
      <c r="I9" s="32">
        <v>130.83000000000001</v>
      </c>
      <c r="J9" s="32">
        <v>137.72</v>
      </c>
      <c r="K9" s="36">
        <v>-0.05</v>
      </c>
      <c r="L9" s="13" t="s">
        <v>664</v>
      </c>
      <c r="M9" s="13" t="s">
        <v>696</v>
      </c>
      <c r="N9" s="10" t="s">
        <v>666</v>
      </c>
      <c r="O9" s="12">
        <v>45170</v>
      </c>
      <c r="P9" s="34">
        <v>16</v>
      </c>
      <c r="Q9" s="11" t="s">
        <v>59</v>
      </c>
    </row>
    <row r="10" spans="1:17" x14ac:dyDescent="0.35">
      <c r="A10" s="2" t="s">
        <v>697</v>
      </c>
      <c r="B10" s="3">
        <v>45271</v>
      </c>
      <c r="C10" s="2" t="s">
        <v>97</v>
      </c>
      <c r="D10" s="2" t="s">
        <v>482</v>
      </c>
      <c r="E10" s="2" t="s">
        <v>363</v>
      </c>
      <c r="F10" s="4" t="s">
        <v>662</v>
      </c>
      <c r="G10" s="10" t="s">
        <v>663</v>
      </c>
      <c r="H10" s="2" t="s">
        <v>59</v>
      </c>
      <c r="I10" s="30">
        <v>144.06</v>
      </c>
      <c r="J10" s="30">
        <v>120.05</v>
      </c>
      <c r="K10" s="27">
        <v>0.2</v>
      </c>
      <c r="L10" s="4" t="s">
        <v>670</v>
      </c>
      <c r="M10" s="4" t="s">
        <v>698</v>
      </c>
      <c r="N10" s="10" t="s">
        <v>666</v>
      </c>
      <c r="O10" s="3">
        <v>45276</v>
      </c>
      <c r="P10" s="31">
        <v>5</v>
      </c>
      <c r="Q10" s="2" t="s">
        <v>26</v>
      </c>
    </row>
    <row r="11" spans="1:17" x14ac:dyDescent="0.35">
      <c r="A11" s="11" t="s">
        <v>699</v>
      </c>
      <c r="B11" s="12">
        <v>45273</v>
      </c>
      <c r="C11" s="11" t="s">
        <v>51</v>
      </c>
      <c r="D11" s="11" t="s">
        <v>684</v>
      </c>
      <c r="E11" s="11" t="s">
        <v>369</v>
      </c>
      <c r="F11" s="13" t="s">
        <v>668</v>
      </c>
      <c r="G11" s="33" t="s">
        <v>680</v>
      </c>
      <c r="H11" s="11" t="s">
        <v>26</v>
      </c>
      <c r="I11" s="32">
        <v>277.58999999999997</v>
      </c>
      <c r="J11" s="32">
        <v>252.35</v>
      </c>
      <c r="K11" s="22">
        <v>0.1</v>
      </c>
      <c r="L11" s="13" t="s">
        <v>676</v>
      </c>
      <c r="M11" s="13" t="s">
        <v>665</v>
      </c>
      <c r="N11" s="10" t="s">
        <v>666</v>
      </c>
      <c r="O11" s="12">
        <v>45294</v>
      </c>
      <c r="P11" s="34">
        <v>21</v>
      </c>
      <c r="Q11" s="11" t="s">
        <v>33</v>
      </c>
    </row>
    <row r="12" spans="1:17" x14ac:dyDescent="0.35">
      <c r="A12" s="2" t="s">
        <v>700</v>
      </c>
      <c r="B12" s="3">
        <v>44930</v>
      </c>
      <c r="C12" s="2" t="s">
        <v>31</v>
      </c>
      <c r="D12" s="2" t="s">
        <v>490</v>
      </c>
      <c r="E12" s="2" t="s">
        <v>243</v>
      </c>
      <c r="F12" s="4" t="s">
        <v>695</v>
      </c>
      <c r="G12" s="20" t="s">
        <v>669</v>
      </c>
      <c r="H12" s="2" t="s">
        <v>59</v>
      </c>
      <c r="I12" s="30">
        <v>325.54000000000002</v>
      </c>
      <c r="J12" s="30">
        <v>283.08</v>
      </c>
      <c r="K12" s="24">
        <v>0.15</v>
      </c>
      <c r="L12" s="4" t="s">
        <v>676</v>
      </c>
      <c r="M12" s="4" t="s">
        <v>698</v>
      </c>
      <c r="N12" s="10" t="s">
        <v>666</v>
      </c>
      <c r="O12" s="3">
        <v>44938</v>
      </c>
      <c r="P12" s="31">
        <v>8</v>
      </c>
      <c r="Q12" s="2" t="s">
        <v>33</v>
      </c>
    </row>
    <row r="13" spans="1:17" x14ac:dyDescent="0.35">
      <c r="A13" s="11" t="s">
        <v>701</v>
      </c>
      <c r="B13" s="12">
        <v>44937</v>
      </c>
      <c r="C13" s="11" t="s">
        <v>23</v>
      </c>
      <c r="D13" s="11" t="s">
        <v>477</v>
      </c>
      <c r="E13" s="11" t="s">
        <v>196</v>
      </c>
      <c r="F13" s="13" t="s">
        <v>685</v>
      </c>
      <c r="G13" s="35" t="s">
        <v>675</v>
      </c>
      <c r="H13" s="11" t="s">
        <v>26</v>
      </c>
      <c r="I13" s="32">
        <v>404.58</v>
      </c>
      <c r="J13" s="32">
        <v>385.31</v>
      </c>
      <c r="K13" s="36">
        <v>0.05</v>
      </c>
      <c r="L13" s="13" t="s">
        <v>664</v>
      </c>
      <c r="M13" s="13" t="s">
        <v>665</v>
      </c>
      <c r="N13" s="10" t="s">
        <v>666</v>
      </c>
      <c r="O13" s="12">
        <v>44949</v>
      </c>
      <c r="P13" s="34">
        <v>12</v>
      </c>
      <c r="Q13" s="11" t="s">
        <v>44</v>
      </c>
    </row>
    <row r="14" spans="1:17" x14ac:dyDescent="0.35">
      <c r="A14" s="2" t="s">
        <v>702</v>
      </c>
      <c r="B14" s="3">
        <v>44934</v>
      </c>
      <c r="C14" s="2" t="s">
        <v>51</v>
      </c>
      <c r="D14" s="2" t="s">
        <v>684</v>
      </c>
      <c r="E14" s="2" t="s">
        <v>133</v>
      </c>
      <c r="F14" s="4" t="s">
        <v>688</v>
      </c>
      <c r="G14" s="33" t="s">
        <v>680</v>
      </c>
      <c r="H14" s="2" t="s">
        <v>26</v>
      </c>
      <c r="I14" s="30">
        <v>202.48</v>
      </c>
      <c r="J14" s="30">
        <v>213.14</v>
      </c>
      <c r="K14" s="22">
        <v>-0.05</v>
      </c>
      <c r="L14" s="4" t="s">
        <v>692</v>
      </c>
      <c r="M14" s="4" t="s">
        <v>682</v>
      </c>
      <c r="N14" s="10" t="s">
        <v>666</v>
      </c>
      <c r="O14" s="3">
        <v>44953</v>
      </c>
      <c r="P14" s="31">
        <v>19</v>
      </c>
      <c r="Q14" s="2" t="s">
        <v>59</v>
      </c>
    </row>
    <row r="15" spans="1:17" x14ac:dyDescent="0.35">
      <c r="A15" s="11" t="s">
        <v>703</v>
      </c>
      <c r="B15" s="12">
        <v>44996</v>
      </c>
      <c r="C15" s="11" t="s">
        <v>51</v>
      </c>
      <c r="D15" s="11" t="s">
        <v>482</v>
      </c>
      <c r="E15" s="11" t="s">
        <v>291</v>
      </c>
      <c r="F15" s="13" t="s">
        <v>704</v>
      </c>
      <c r="G15" s="35" t="s">
        <v>675</v>
      </c>
      <c r="H15" s="11" t="s">
        <v>55</v>
      </c>
      <c r="I15" s="32">
        <v>27.74</v>
      </c>
      <c r="J15" s="32">
        <v>32.64</v>
      </c>
      <c r="K15" s="36">
        <v>-0.15010000000000001</v>
      </c>
      <c r="L15" s="13" t="s">
        <v>676</v>
      </c>
      <c r="M15" s="13" t="s">
        <v>677</v>
      </c>
      <c r="N15" s="33" t="s">
        <v>672</v>
      </c>
      <c r="O15" s="12"/>
      <c r="P15" s="34"/>
      <c r="Q15" s="11"/>
    </row>
    <row r="16" spans="1:17" x14ac:dyDescent="0.35">
      <c r="A16" s="2" t="s">
        <v>705</v>
      </c>
      <c r="B16" s="3">
        <v>45045</v>
      </c>
      <c r="C16" s="2" t="s">
        <v>97</v>
      </c>
      <c r="D16" s="2" t="s">
        <v>691</v>
      </c>
      <c r="E16" s="2" t="s">
        <v>311</v>
      </c>
      <c r="F16" s="4" t="s">
        <v>706</v>
      </c>
      <c r="G16" s="33" t="s">
        <v>680</v>
      </c>
      <c r="H16" s="2" t="s">
        <v>55</v>
      </c>
      <c r="I16" s="30">
        <v>40.11</v>
      </c>
      <c r="J16" s="30">
        <v>43.6</v>
      </c>
      <c r="K16" s="22">
        <v>-0.08</v>
      </c>
      <c r="L16" s="4" t="s">
        <v>686</v>
      </c>
      <c r="M16" s="4" t="s">
        <v>696</v>
      </c>
      <c r="N16" s="33" t="s">
        <v>672</v>
      </c>
      <c r="O16" s="3"/>
      <c r="P16" s="31"/>
      <c r="Q16" s="2"/>
    </row>
    <row r="17" spans="1:17" x14ac:dyDescent="0.35">
      <c r="A17" s="11" t="s">
        <v>707</v>
      </c>
      <c r="B17" s="12">
        <v>45102</v>
      </c>
      <c r="C17" s="11" t="s">
        <v>51</v>
      </c>
      <c r="D17" s="11" t="s">
        <v>471</v>
      </c>
      <c r="E17" s="11" t="s">
        <v>307</v>
      </c>
      <c r="F17" s="13" t="s">
        <v>708</v>
      </c>
      <c r="G17" s="33" t="s">
        <v>680</v>
      </c>
      <c r="H17" s="11" t="s">
        <v>59</v>
      </c>
      <c r="I17" s="32">
        <v>248.55</v>
      </c>
      <c r="J17" s="32">
        <v>241.31</v>
      </c>
      <c r="K17" s="22">
        <v>0.03</v>
      </c>
      <c r="L17" s="13" t="s">
        <v>670</v>
      </c>
      <c r="M17" s="13" t="s">
        <v>689</v>
      </c>
      <c r="N17" s="10" t="s">
        <v>666</v>
      </c>
      <c r="O17" s="12">
        <v>45117</v>
      </c>
      <c r="P17" s="34">
        <v>15</v>
      </c>
      <c r="Q17" s="11" t="s">
        <v>44</v>
      </c>
    </row>
    <row r="18" spans="1:17" x14ac:dyDescent="0.35">
      <c r="A18" s="2" t="s">
        <v>709</v>
      </c>
      <c r="B18" s="3">
        <v>45075</v>
      </c>
      <c r="C18" s="2" t="s">
        <v>97</v>
      </c>
      <c r="D18" s="2" t="s">
        <v>710</v>
      </c>
      <c r="E18" s="2" t="s">
        <v>255</v>
      </c>
      <c r="F18" s="4" t="s">
        <v>662</v>
      </c>
      <c r="G18" s="20" t="s">
        <v>669</v>
      </c>
      <c r="H18" s="2" t="s">
        <v>59</v>
      </c>
      <c r="I18" s="30">
        <v>204.39</v>
      </c>
      <c r="J18" s="30">
        <v>222.16</v>
      </c>
      <c r="K18" s="24">
        <v>-0.08</v>
      </c>
      <c r="L18" s="4" t="s">
        <v>686</v>
      </c>
      <c r="M18" s="4" t="s">
        <v>696</v>
      </c>
      <c r="N18" s="37" t="s">
        <v>711</v>
      </c>
      <c r="O18" s="3"/>
      <c r="P18" s="31"/>
      <c r="Q18" s="2"/>
    </row>
    <row r="19" spans="1:17" x14ac:dyDescent="0.35">
      <c r="A19" s="11" t="s">
        <v>712</v>
      </c>
      <c r="B19" s="12">
        <v>44947</v>
      </c>
      <c r="C19" s="11" t="s">
        <v>31</v>
      </c>
      <c r="D19" s="11" t="s">
        <v>713</v>
      </c>
      <c r="E19" s="11" t="s">
        <v>133</v>
      </c>
      <c r="F19" s="13" t="s">
        <v>674</v>
      </c>
      <c r="G19" s="10" t="s">
        <v>663</v>
      </c>
      <c r="H19" s="11" t="s">
        <v>55</v>
      </c>
      <c r="I19" s="32">
        <v>75.16</v>
      </c>
      <c r="J19" s="32">
        <v>79.12</v>
      </c>
      <c r="K19" s="27">
        <v>-5.0099999999999999E-2</v>
      </c>
      <c r="L19" s="13" t="s">
        <v>676</v>
      </c>
      <c r="M19" s="13" t="s">
        <v>682</v>
      </c>
      <c r="N19" s="33" t="s">
        <v>672</v>
      </c>
      <c r="O19" s="12"/>
      <c r="P19" s="34"/>
      <c r="Q19" s="11"/>
    </row>
    <row r="20" spans="1:17" x14ac:dyDescent="0.35">
      <c r="A20" s="2" t="s">
        <v>714</v>
      </c>
      <c r="B20" s="3">
        <v>45109</v>
      </c>
      <c r="C20" s="2" t="s">
        <v>31</v>
      </c>
      <c r="D20" s="2" t="s">
        <v>715</v>
      </c>
      <c r="E20" s="2" t="s">
        <v>301</v>
      </c>
      <c r="F20" s="4" t="s">
        <v>679</v>
      </c>
      <c r="G20" s="33" t="s">
        <v>680</v>
      </c>
      <c r="H20" s="2" t="s">
        <v>33</v>
      </c>
      <c r="I20" s="30">
        <v>400.83</v>
      </c>
      <c r="J20" s="30">
        <v>371.14</v>
      </c>
      <c r="K20" s="22">
        <v>0.08</v>
      </c>
      <c r="L20" s="4" t="s">
        <v>676</v>
      </c>
      <c r="M20" s="4" t="s">
        <v>698</v>
      </c>
      <c r="N20" s="10" t="s">
        <v>666</v>
      </c>
      <c r="O20" s="3">
        <v>45122</v>
      </c>
      <c r="P20" s="31">
        <v>13</v>
      </c>
      <c r="Q20" s="2" t="s">
        <v>26</v>
      </c>
    </row>
    <row r="21" spans="1:17" x14ac:dyDescent="0.35">
      <c r="A21" s="11" t="s">
        <v>716</v>
      </c>
      <c r="B21" s="12">
        <v>45265</v>
      </c>
      <c r="C21" s="11" t="s">
        <v>23</v>
      </c>
      <c r="D21" s="11" t="s">
        <v>494</v>
      </c>
      <c r="E21" s="11" t="s">
        <v>162</v>
      </c>
      <c r="F21" s="13" t="s">
        <v>706</v>
      </c>
      <c r="G21" s="10" t="s">
        <v>663</v>
      </c>
      <c r="H21" s="11" t="s">
        <v>59</v>
      </c>
      <c r="I21" s="32">
        <v>60.6</v>
      </c>
      <c r="J21" s="32">
        <v>52.7</v>
      </c>
      <c r="K21" s="27">
        <v>0.14990000000000001</v>
      </c>
      <c r="L21" s="13" t="s">
        <v>686</v>
      </c>
      <c r="M21" s="13" t="s">
        <v>693</v>
      </c>
      <c r="N21" s="33" t="s">
        <v>672</v>
      </c>
      <c r="O21" s="12"/>
      <c r="P21" s="34"/>
      <c r="Q21" s="11"/>
    </row>
    <row r="22" spans="1:17" x14ac:dyDescent="0.35">
      <c r="A22" s="2" t="s">
        <v>717</v>
      </c>
      <c r="B22" s="3">
        <v>44974</v>
      </c>
      <c r="C22" s="2" t="s">
        <v>97</v>
      </c>
      <c r="D22" s="2" t="s">
        <v>661</v>
      </c>
      <c r="E22" s="2" t="s">
        <v>196</v>
      </c>
      <c r="F22" s="4" t="s">
        <v>704</v>
      </c>
      <c r="G22" s="35" t="s">
        <v>675</v>
      </c>
      <c r="H22" s="2" t="s">
        <v>26</v>
      </c>
      <c r="I22" s="30">
        <v>300.72000000000003</v>
      </c>
      <c r="J22" s="30">
        <v>291.95999999999998</v>
      </c>
      <c r="K22" s="36">
        <v>0.03</v>
      </c>
      <c r="L22" s="4" t="s">
        <v>664</v>
      </c>
      <c r="M22" s="4" t="s">
        <v>693</v>
      </c>
      <c r="N22" s="10" t="s">
        <v>666</v>
      </c>
      <c r="O22" s="3">
        <v>44989</v>
      </c>
      <c r="P22" s="31">
        <v>15</v>
      </c>
      <c r="Q22" s="2" t="s">
        <v>59</v>
      </c>
    </row>
    <row r="23" spans="1:17" x14ac:dyDescent="0.35">
      <c r="A23" s="11" t="s">
        <v>718</v>
      </c>
      <c r="B23" s="12">
        <v>45104</v>
      </c>
      <c r="C23" s="11" t="s">
        <v>42</v>
      </c>
      <c r="D23" s="11" t="s">
        <v>719</v>
      </c>
      <c r="E23" s="11" t="s">
        <v>249</v>
      </c>
      <c r="F23" s="13" t="s">
        <v>706</v>
      </c>
      <c r="G23" s="33" t="s">
        <v>680</v>
      </c>
      <c r="H23" s="11" t="s">
        <v>33</v>
      </c>
      <c r="I23" s="32">
        <v>300.62</v>
      </c>
      <c r="J23" s="32">
        <v>278.35000000000002</v>
      </c>
      <c r="K23" s="22">
        <v>0.08</v>
      </c>
      <c r="L23" s="13" t="s">
        <v>686</v>
      </c>
      <c r="M23" s="13" t="s">
        <v>682</v>
      </c>
      <c r="N23" s="37" t="s">
        <v>711</v>
      </c>
      <c r="O23" s="12"/>
      <c r="P23" s="34"/>
      <c r="Q23" s="11"/>
    </row>
    <row r="24" spans="1:17" x14ac:dyDescent="0.35">
      <c r="A24" s="2" t="s">
        <v>720</v>
      </c>
      <c r="B24" s="3">
        <v>44928</v>
      </c>
      <c r="C24" s="2" t="s">
        <v>51</v>
      </c>
      <c r="D24" s="2" t="s">
        <v>691</v>
      </c>
      <c r="E24" s="2" t="s">
        <v>50</v>
      </c>
      <c r="F24" s="4" t="s">
        <v>704</v>
      </c>
      <c r="G24" s="33" t="s">
        <v>680</v>
      </c>
      <c r="H24" s="2" t="s">
        <v>59</v>
      </c>
      <c r="I24" s="30">
        <v>174.82</v>
      </c>
      <c r="J24" s="30">
        <v>194.24</v>
      </c>
      <c r="K24" s="22">
        <v>-0.1</v>
      </c>
      <c r="L24" s="4" t="s">
        <v>721</v>
      </c>
      <c r="M24" s="4" t="s">
        <v>682</v>
      </c>
      <c r="N24" s="33" t="s">
        <v>672</v>
      </c>
      <c r="O24" s="3"/>
      <c r="P24" s="31"/>
      <c r="Q24" s="2"/>
    </row>
    <row r="25" spans="1:17" x14ac:dyDescent="0.35">
      <c r="A25" s="11" t="s">
        <v>722</v>
      </c>
      <c r="B25" s="12">
        <v>45040</v>
      </c>
      <c r="C25" s="11" t="s">
        <v>42</v>
      </c>
      <c r="D25" s="11" t="s">
        <v>713</v>
      </c>
      <c r="E25" s="11" t="s">
        <v>411</v>
      </c>
      <c r="F25" s="13" t="s">
        <v>662</v>
      </c>
      <c r="G25" s="33" t="s">
        <v>680</v>
      </c>
      <c r="H25" s="11" t="s">
        <v>59</v>
      </c>
      <c r="I25" s="32">
        <v>39.57</v>
      </c>
      <c r="J25" s="32">
        <v>46.55</v>
      </c>
      <c r="K25" s="22">
        <v>-0.14990000000000001</v>
      </c>
      <c r="L25" s="13" t="s">
        <v>692</v>
      </c>
      <c r="M25" s="13" t="s">
        <v>698</v>
      </c>
      <c r="N25" s="10" t="s">
        <v>666</v>
      </c>
      <c r="O25" s="12">
        <v>45048</v>
      </c>
      <c r="P25" s="34">
        <v>8</v>
      </c>
      <c r="Q25" s="11" t="s">
        <v>59</v>
      </c>
    </row>
    <row r="26" spans="1:17" x14ac:dyDescent="0.35">
      <c r="A26" s="2" t="s">
        <v>723</v>
      </c>
      <c r="B26" s="3">
        <v>45256</v>
      </c>
      <c r="C26" s="2" t="s">
        <v>42</v>
      </c>
      <c r="D26" s="2" t="s">
        <v>684</v>
      </c>
      <c r="E26" s="2" t="s">
        <v>271</v>
      </c>
      <c r="F26" s="4" t="s">
        <v>706</v>
      </c>
      <c r="G26" s="35" t="s">
        <v>675</v>
      </c>
      <c r="H26" s="2" t="s">
        <v>33</v>
      </c>
      <c r="I26" s="30">
        <v>149.63999999999999</v>
      </c>
      <c r="J26" s="30">
        <v>157.52000000000001</v>
      </c>
      <c r="K26" s="36">
        <v>-0.05</v>
      </c>
      <c r="L26" s="4" t="s">
        <v>692</v>
      </c>
      <c r="M26" s="4" t="s">
        <v>689</v>
      </c>
      <c r="N26" s="10" t="s">
        <v>666</v>
      </c>
      <c r="O26" s="3">
        <v>45265</v>
      </c>
      <c r="P26" s="31">
        <v>9</v>
      </c>
      <c r="Q26" s="2" t="s">
        <v>59</v>
      </c>
    </row>
    <row r="27" spans="1:17" x14ac:dyDescent="0.35">
      <c r="A27" s="11" t="s">
        <v>724</v>
      </c>
      <c r="B27" s="12">
        <v>45065</v>
      </c>
      <c r="C27" s="11" t="s">
        <v>23</v>
      </c>
      <c r="D27" s="11" t="s">
        <v>725</v>
      </c>
      <c r="E27" s="11" t="s">
        <v>425</v>
      </c>
      <c r="F27" s="13" t="s">
        <v>679</v>
      </c>
      <c r="G27" s="33" t="s">
        <v>680</v>
      </c>
      <c r="H27" s="11" t="s">
        <v>26</v>
      </c>
      <c r="I27" s="32">
        <v>42.32</v>
      </c>
      <c r="J27" s="32">
        <v>44.55</v>
      </c>
      <c r="K27" s="22">
        <v>-5.0099999999999999E-2</v>
      </c>
      <c r="L27" s="13" t="s">
        <v>676</v>
      </c>
      <c r="M27" s="13" t="s">
        <v>696</v>
      </c>
      <c r="N27" s="37" t="s">
        <v>711</v>
      </c>
      <c r="O27" s="12"/>
      <c r="P27" s="34"/>
      <c r="Q27" s="11"/>
    </row>
    <row r="28" spans="1:17" x14ac:dyDescent="0.35">
      <c r="A28" s="2" t="s">
        <v>726</v>
      </c>
      <c r="B28" s="3">
        <v>45131</v>
      </c>
      <c r="C28" s="2" t="s">
        <v>97</v>
      </c>
      <c r="D28" s="2" t="s">
        <v>684</v>
      </c>
      <c r="E28" s="2" t="s">
        <v>337</v>
      </c>
      <c r="F28" s="4" t="s">
        <v>685</v>
      </c>
      <c r="G28" s="20" t="s">
        <v>669</v>
      </c>
      <c r="H28" s="2" t="s">
        <v>26</v>
      </c>
      <c r="I28" s="30">
        <v>241.91</v>
      </c>
      <c r="J28" s="30">
        <v>284.60000000000002</v>
      </c>
      <c r="K28" s="24">
        <v>-0.15</v>
      </c>
      <c r="L28" s="4" t="s">
        <v>721</v>
      </c>
      <c r="M28" s="4" t="s">
        <v>677</v>
      </c>
      <c r="N28" s="37" t="s">
        <v>711</v>
      </c>
      <c r="O28" s="3"/>
      <c r="P28" s="31"/>
      <c r="Q28" s="2"/>
    </row>
    <row r="29" spans="1:17" x14ac:dyDescent="0.35">
      <c r="A29" s="11" t="s">
        <v>727</v>
      </c>
      <c r="B29" s="12">
        <v>45153</v>
      </c>
      <c r="C29" s="11" t="s">
        <v>42</v>
      </c>
      <c r="D29" s="11" t="s">
        <v>471</v>
      </c>
      <c r="E29" s="11" t="s">
        <v>196</v>
      </c>
      <c r="F29" s="13" t="s">
        <v>704</v>
      </c>
      <c r="G29" s="33" t="s">
        <v>680</v>
      </c>
      <c r="H29" s="11" t="s">
        <v>44</v>
      </c>
      <c r="I29" s="32">
        <v>376.35</v>
      </c>
      <c r="J29" s="32">
        <v>348.47</v>
      </c>
      <c r="K29" s="22">
        <v>0.08</v>
      </c>
      <c r="L29" s="13" t="s">
        <v>676</v>
      </c>
      <c r="M29" s="13" t="s">
        <v>665</v>
      </c>
      <c r="N29" s="10" t="s">
        <v>666</v>
      </c>
      <c r="O29" s="12">
        <v>45156</v>
      </c>
      <c r="P29" s="34">
        <v>3</v>
      </c>
      <c r="Q29" s="11" t="s">
        <v>59</v>
      </c>
    </row>
    <row r="30" spans="1:17" x14ac:dyDescent="0.35">
      <c r="A30" s="2" t="s">
        <v>728</v>
      </c>
      <c r="B30" s="3">
        <v>45221</v>
      </c>
      <c r="C30" s="2" t="s">
        <v>23</v>
      </c>
      <c r="D30" s="2" t="s">
        <v>684</v>
      </c>
      <c r="E30" s="2" t="s">
        <v>423</v>
      </c>
      <c r="F30" s="4" t="s">
        <v>706</v>
      </c>
      <c r="G30" s="33" t="s">
        <v>680</v>
      </c>
      <c r="H30" s="2" t="s">
        <v>59</v>
      </c>
      <c r="I30" s="30">
        <v>291.32</v>
      </c>
      <c r="J30" s="30">
        <v>253.32</v>
      </c>
      <c r="K30" s="22">
        <v>0.15</v>
      </c>
      <c r="L30" s="4" t="s">
        <v>670</v>
      </c>
      <c r="M30" s="4" t="s">
        <v>671</v>
      </c>
      <c r="N30" s="10" t="s">
        <v>666</v>
      </c>
      <c r="O30" s="3">
        <v>45232</v>
      </c>
      <c r="P30" s="31">
        <v>11</v>
      </c>
      <c r="Q30" s="2" t="s">
        <v>55</v>
      </c>
    </row>
    <row r="31" spans="1:17" x14ac:dyDescent="0.35">
      <c r="A31" s="11" t="s">
        <v>729</v>
      </c>
      <c r="B31" s="12">
        <v>44931</v>
      </c>
      <c r="C31" s="11" t="s">
        <v>42</v>
      </c>
      <c r="D31" s="11" t="s">
        <v>490</v>
      </c>
      <c r="E31" s="11" t="s">
        <v>174</v>
      </c>
      <c r="F31" s="13" t="s">
        <v>685</v>
      </c>
      <c r="G31" s="20" t="s">
        <v>669</v>
      </c>
      <c r="H31" s="11" t="s">
        <v>26</v>
      </c>
      <c r="I31" s="32">
        <v>297.68</v>
      </c>
      <c r="J31" s="32">
        <v>330.75</v>
      </c>
      <c r="K31" s="24">
        <v>-0.1</v>
      </c>
      <c r="L31" s="13" t="s">
        <v>686</v>
      </c>
      <c r="M31" s="13" t="s">
        <v>665</v>
      </c>
      <c r="N31" s="10" t="s">
        <v>666</v>
      </c>
      <c r="O31" s="12">
        <v>44932</v>
      </c>
      <c r="P31" s="34">
        <v>1</v>
      </c>
      <c r="Q31" s="11" t="s">
        <v>44</v>
      </c>
    </row>
    <row r="32" spans="1:17" x14ac:dyDescent="0.35">
      <c r="A32" s="2" t="s">
        <v>730</v>
      </c>
      <c r="B32" s="3">
        <v>45059</v>
      </c>
      <c r="C32" s="2" t="s">
        <v>97</v>
      </c>
      <c r="D32" s="2" t="s">
        <v>684</v>
      </c>
      <c r="E32" s="2" t="s">
        <v>367</v>
      </c>
      <c r="F32" s="4" t="s">
        <v>674</v>
      </c>
      <c r="G32" s="10" t="s">
        <v>663</v>
      </c>
      <c r="H32" s="2" t="s">
        <v>26</v>
      </c>
      <c r="I32" s="30">
        <v>321.17</v>
      </c>
      <c r="J32" s="30">
        <v>338.07</v>
      </c>
      <c r="K32" s="27">
        <v>-0.05</v>
      </c>
      <c r="L32" s="4" t="s">
        <v>721</v>
      </c>
      <c r="M32" s="4" t="s">
        <v>698</v>
      </c>
      <c r="N32" s="10" t="s">
        <v>666</v>
      </c>
      <c r="O32" s="3">
        <v>45079</v>
      </c>
      <c r="P32" s="31">
        <v>20</v>
      </c>
      <c r="Q32" s="2" t="s">
        <v>33</v>
      </c>
    </row>
    <row r="33" spans="1:17" x14ac:dyDescent="0.35">
      <c r="A33" s="11" t="s">
        <v>731</v>
      </c>
      <c r="B33" s="12">
        <v>44972</v>
      </c>
      <c r="C33" s="11" t="s">
        <v>23</v>
      </c>
      <c r="D33" s="11" t="s">
        <v>725</v>
      </c>
      <c r="E33" s="11" t="s">
        <v>285</v>
      </c>
      <c r="F33" s="13" t="s">
        <v>708</v>
      </c>
      <c r="G33" s="20" t="s">
        <v>669</v>
      </c>
      <c r="H33" s="11" t="s">
        <v>55</v>
      </c>
      <c r="I33" s="32">
        <v>56.34</v>
      </c>
      <c r="J33" s="32">
        <v>62.6</v>
      </c>
      <c r="K33" s="24">
        <v>-0.1</v>
      </c>
      <c r="L33" s="13" t="s">
        <v>732</v>
      </c>
      <c r="M33" s="13" t="s">
        <v>696</v>
      </c>
      <c r="N33" s="10" t="s">
        <v>666</v>
      </c>
      <c r="O33" s="12">
        <v>44993</v>
      </c>
      <c r="P33" s="34">
        <v>21</v>
      </c>
      <c r="Q33" s="11" t="s">
        <v>26</v>
      </c>
    </row>
    <row r="34" spans="1:17" x14ac:dyDescent="0.35">
      <c r="A34" s="2" t="s">
        <v>733</v>
      </c>
      <c r="B34" s="3">
        <v>45196</v>
      </c>
      <c r="C34" s="2" t="s">
        <v>97</v>
      </c>
      <c r="D34" s="2" t="s">
        <v>477</v>
      </c>
      <c r="E34" s="2" t="s">
        <v>263</v>
      </c>
      <c r="F34" s="4" t="s">
        <v>688</v>
      </c>
      <c r="G34" s="35" t="s">
        <v>675</v>
      </c>
      <c r="H34" s="2" t="s">
        <v>44</v>
      </c>
      <c r="I34" s="30">
        <v>231.17</v>
      </c>
      <c r="J34" s="30">
        <v>243.34</v>
      </c>
      <c r="K34" s="36">
        <v>-0.05</v>
      </c>
      <c r="L34" s="4" t="s">
        <v>686</v>
      </c>
      <c r="M34" s="4" t="s">
        <v>665</v>
      </c>
      <c r="N34" s="10" t="s">
        <v>666</v>
      </c>
      <c r="O34" s="3">
        <v>45213</v>
      </c>
      <c r="P34" s="31">
        <v>17</v>
      </c>
      <c r="Q34" s="2" t="s">
        <v>26</v>
      </c>
    </row>
    <row r="35" spans="1:17" x14ac:dyDescent="0.35">
      <c r="A35" s="11" t="s">
        <v>734</v>
      </c>
      <c r="B35" s="12">
        <v>45023</v>
      </c>
      <c r="C35" s="11" t="s">
        <v>23</v>
      </c>
      <c r="D35" s="11" t="s">
        <v>490</v>
      </c>
      <c r="E35" s="11" t="s">
        <v>119</v>
      </c>
      <c r="F35" s="13" t="s">
        <v>668</v>
      </c>
      <c r="G35" s="33" t="s">
        <v>680</v>
      </c>
      <c r="H35" s="11" t="s">
        <v>59</v>
      </c>
      <c r="I35" s="32">
        <v>329.7</v>
      </c>
      <c r="J35" s="32">
        <v>347.05</v>
      </c>
      <c r="K35" s="22">
        <v>-0.05</v>
      </c>
      <c r="L35" s="13" t="s">
        <v>692</v>
      </c>
      <c r="M35" s="13" t="s">
        <v>677</v>
      </c>
      <c r="N35" s="10" t="s">
        <v>666</v>
      </c>
      <c r="O35" s="12">
        <v>45044</v>
      </c>
      <c r="P35" s="34">
        <v>21</v>
      </c>
      <c r="Q35" s="11" t="s">
        <v>59</v>
      </c>
    </row>
    <row r="36" spans="1:17" x14ac:dyDescent="0.35">
      <c r="A36" s="2" t="s">
        <v>735</v>
      </c>
      <c r="B36" s="3">
        <v>45157</v>
      </c>
      <c r="C36" s="2" t="s">
        <v>97</v>
      </c>
      <c r="D36" s="2" t="s">
        <v>725</v>
      </c>
      <c r="E36" s="2" t="s">
        <v>387</v>
      </c>
      <c r="F36" s="4" t="s">
        <v>662</v>
      </c>
      <c r="G36" s="10" t="s">
        <v>663</v>
      </c>
      <c r="H36" s="2" t="s">
        <v>26</v>
      </c>
      <c r="I36" s="30">
        <v>225.68</v>
      </c>
      <c r="J36" s="30">
        <v>250.75</v>
      </c>
      <c r="K36" s="27">
        <v>-0.1</v>
      </c>
      <c r="L36" s="4" t="s">
        <v>721</v>
      </c>
      <c r="M36" s="4" t="s">
        <v>693</v>
      </c>
      <c r="N36" s="10" t="s">
        <v>666</v>
      </c>
      <c r="O36" s="3">
        <v>45159</v>
      </c>
      <c r="P36" s="31">
        <v>2</v>
      </c>
      <c r="Q36" s="2" t="s">
        <v>59</v>
      </c>
    </row>
    <row r="37" spans="1:17" x14ac:dyDescent="0.35">
      <c r="A37" s="11" t="s">
        <v>736</v>
      </c>
      <c r="B37" s="12">
        <v>45054</v>
      </c>
      <c r="C37" s="11" t="s">
        <v>42</v>
      </c>
      <c r="D37" s="11" t="s">
        <v>713</v>
      </c>
      <c r="E37" s="11" t="s">
        <v>339</v>
      </c>
      <c r="F37" s="13" t="s">
        <v>662</v>
      </c>
      <c r="G37" s="10" t="s">
        <v>663</v>
      </c>
      <c r="H37" s="11" t="s">
        <v>33</v>
      </c>
      <c r="I37" s="32">
        <v>101.25</v>
      </c>
      <c r="J37" s="32">
        <v>106.58</v>
      </c>
      <c r="K37" s="27">
        <v>-0.05</v>
      </c>
      <c r="L37" s="13" t="s">
        <v>686</v>
      </c>
      <c r="M37" s="13" t="s">
        <v>693</v>
      </c>
      <c r="N37" s="10" t="s">
        <v>666</v>
      </c>
      <c r="O37" s="12">
        <v>45064</v>
      </c>
      <c r="P37" s="34">
        <v>10</v>
      </c>
      <c r="Q37" s="11" t="s">
        <v>33</v>
      </c>
    </row>
    <row r="38" spans="1:17" x14ac:dyDescent="0.35">
      <c r="A38" s="2" t="s">
        <v>737</v>
      </c>
      <c r="B38" s="3">
        <v>45084</v>
      </c>
      <c r="C38" s="2" t="s">
        <v>97</v>
      </c>
      <c r="D38" s="2" t="s">
        <v>691</v>
      </c>
      <c r="E38" s="2" t="s">
        <v>228</v>
      </c>
      <c r="F38" s="4" t="s">
        <v>668</v>
      </c>
      <c r="G38" s="35" t="s">
        <v>675</v>
      </c>
      <c r="H38" s="2" t="s">
        <v>55</v>
      </c>
      <c r="I38" s="30">
        <v>122.76</v>
      </c>
      <c r="J38" s="30">
        <v>102.3</v>
      </c>
      <c r="K38" s="36">
        <v>0.2</v>
      </c>
      <c r="L38" s="4" t="s">
        <v>681</v>
      </c>
      <c r="M38" s="4" t="s">
        <v>677</v>
      </c>
      <c r="N38" s="33" t="s">
        <v>672</v>
      </c>
      <c r="O38" s="3"/>
      <c r="P38" s="31"/>
      <c r="Q38" s="2"/>
    </row>
    <row r="39" spans="1:17" x14ac:dyDescent="0.35">
      <c r="A39" s="11" t="s">
        <v>738</v>
      </c>
      <c r="B39" s="12">
        <v>45043</v>
      </c>
      <c r="C39" s="11" t="s">
        <v>42</v>
      </c>
      <c r="D39" s="11" t="s">
        <v>482</v>
      </c>
      <c r="E39" s="11" t="s">
        <v>365</v>
      </c>
      <c r="F39" s="13" t="s">
        <v>685</v>
      </c>
      <c r="G39" s="35" t="s">
        <v>675</v>
      </c>
      <c r="H39" s="11" t="s">
        <v>33</v>
      </c>
      <c r="I39" s="32">
        <v>138.13999999999999</v>
      </c>
      <c r="J39" s="32">
        <v>153.49</v>
      </c>
      <c r="K39" s="36">
        <v>-0.1</v>
      </c>
      <c r="L39" s="13" t="s">
        <v>676</v>
      </c>
      <c r="M39" s="13" t="s">
        <v>671</v>
      </c>
      <c r="N39" s="37" t="s">
        <v>711</v>
      </c>
      <c r="O39" s="12"/>
      <c r="P39" s="34"/>
      <c r="Q39" s="11"/>
    </row>
    <row r="40" spans="1:17" x14ac:dyDescent="0.35">
      <c r="A40" s="2" t="s">
        <v>739</v>
      </c>
      <c r="B40" s="3">
        <v>45131</v>
      </c>
      <c r="C40" s="2" t="s">
        <v>42</v>
      </c>
      <c r="D40" s="2" t="s">
        <v>725</v>
      </c>
      <c r="E40" s="2" t="s">
        <v>339</v>
      </c>
      <c r="F40" s="4" t="s">
        <v>674</v>
      </c>
      <c r="G40" s="33" t="s">
        <v>680</v>
      </c>
      <c r="H40" s="2" t="s">
        <v>59</v>
      </c>
      <c r="I40" s="30">
        <v>134.91999999999999</v>
      </c>
      <c r="J40" s="30">
        <v>122.65</v>
      </c>
      <c r="K40" s="22">
        <v>0.1</v>
      </c>
      <c r="L40" s="4" t="s">
        <v>676</v>
      </c>
      <c r="M40" s="4" t="s">
        <v>698</v>
      </c>
      <c r="N40" s="10" t="s">
        <v>666</v>
      </c>
      <c r="O40" s="3">
        <v>45138</v>
      </c>
      <c r="P40" s="31">
        <v>7</v>
      </c>
      <c r="Q40" s="2" t="s">
        <v>26</v>
      </c>
    </row>
    <row r="41" spans="1:17" x14ac:dyDescent="0.35">
      <c r="A41" s="11" t="s">
        <v>740</v>
      </c>
      <c r="B41" s="12">
        <v>44973</v>
      </c>
      <c r="C41" s="11" t="s">
        <v>23</v>
      </c>
      <c r="D41" s="11" t="s">
        <v>719</v>
      </c>
      <c r="E41" s="11" t="s">
        <v>277</v>
      </c>
      <c r="F41" s="13" t="s">
        <v>685</v>
      </c>
      <c r="G41" s="20" t="s">
        <v>669</v>
      </c>
      <c r="H41" s="11" t="s">
        <v>26</v>
      </c>
      <c r="I41" s="32">
        <v>263.27</v>
      </c>
      <c r="J41" s="32">
        <v>277.13</v>
      </c>
      <c r="K41" s="24">
        <v>-0.05</v>
      </c>
      <c r="L41" s="13" t="s">
        <v>686</v>
      </c>
      <c r="M41" s="13" t="s">
        <v>677</v>
      </c>
      <c r="N41" s="33" t="s">
        <v>672</v>
      </c>
      <c r="O41" s="12"/>
      <c r="P41" s="34"/>
      <c r="Q41" s="11"/>
    </row>
    <row r="42" spans="1:17" x14ac:dyDescent="0.35">
      <c r="A42" s="2" t="s">
        <v>741</v>
      </c>
      <c r="B42" s="3">
        <v>45168</v>
      </c>
      <c r="C42" s="2" t="s">
        <v>51</v>
      </c>
      <c r="D42" s="2" t="s">
        <v>691</v>
      </c>
      <c r="E42" s="2" t="s">
        <v>453</v>
      </c>
      <c r="F42" s="4" t="s">
        <v>679</v>
      </c>
      <c r="G42" s="33" t="s">
        <v>680</v>
      </c>
      <c r="H42" s="2" t="s">
        <v>59</v>
      </c>
      <c r="I42" s="30">
        <v>75.25</v>
      </c>
      <c r="J42" s="30">
        <v>62.71</v>
      </c>
      <c r="K42" s="22">
        <v>0.2</v>
      </c>
      <c r="L42" s="4" t="s">
        <v>670</v>
      </c>
      <c r="M42" s="4" t="s">
        <v>693</v>
      </c>
      <c r="N42" s="10" t="s">
        <v>666</v>
      </c>
      <c r="O42" s="3">
        <v>45186</v>
      </c>
      <c r="P42" s="31">
        <v>18</v>
      </c>
      <c r="Q42" s="2" t="s">
        <v>44</v>
      </c>
    </row>
    <row r="43" spans="1:17" x14ac:dyDescent="0.35">
      <c r="A43" s="11" t="s">
        <v>742</v>
      </c>
      <c r="B43" s="12">
        <v>44951</v>
      </c>
      <c r="C43" s="11" t="s">
        <v>51</v>
      </c>
      <c r="D43" s="11" t="s">
        <v>494</v>
      </c>
      <c r="E43" s="11" t="s">
        <v>158</v>
      </c>
      <c r="F43" s="13" t="s">
        <v>668</v>
      </c>
      <c r="G43" s="20" t="s">
        <v>669</v>
      </c>
      <c r="H43" s="11" t="s">
        <v>59</v>
      </c>
      <c r="I43" s="32">
        <v>214.8</v>
      </c>
      <c r="J43" s="32">
        <v>195.27</v>
      </c>
      <c r="K43" s="24">
        <v>0.1</v>
      </c>
      <c r="L43" s="13" t="s">
        <v>686</v>
      </c>
      <c r="M43" s="13" t="s">
        <v>698</v>
      </c>
      <c r="N43" s="33" t="s">
        <v>672</v>
      </c>
      <c r="O43" s="12"/>
      <c r="P43" s="34"/>
      <c r="Q43" s="11"/>
    </row>
    <row r="44" spans="1:17" x14ac:dyDescent="0.35">
      <c r="A44" s="2" t="s">
        <v>743</v>
      </c>
      <c r="B44" s="3">
        <v>45171</v>
      </c>
      <c r="C44" s="2" t="s">
        <v>51</v>
      </c>
      <c r="D44" s="2" t="s">
        <v>482</v>
      </c>
      <c r="E44" s="2" t="s">
        <v>243</v>
      </c>
      <c r="F44" s="4" t="s">
        <v>708</v>
      </c>
      <c r="G44" s="33" t="s">
        <v>680</v>
      </c>
      <c r="H44" s="2" t="s">
        <v>55</v>
      </c>
      <c r="I44" s="30">
        <v>42.11</v>
      </c>
      <c r="J44" s="30">
        <v>36.619999999999997</v>
      </c>
      <c r="K44" s="22">
        <v>0.14990000000000001</v>
      </c>
      <c r="L44" s="4" t="s">
        <v>686</v>
      </c>
      <c r="M44" s="4" t="s">
        <v>682</v>
      </c>
      <c r="N44" s="37" t="s">
        <v>711</v>
      </c>
      <c r="O44" s="3"/>
      <c r="P44" s="31"/>
      <c r="Q44" s="2"/>
    </row>
    <row r="45" spans="1:17" x14ac:dyDescent="0.35">
      <c r="A45" s="11" t="s">
        <v>744</v>
      </c>
      <c r="B45" s="12">
        <v>45068</v>
      </c>
      <c r="C45" s="11" t="s">
        <v>42</v>
      </c>
      <c r="D45" s="11" t="s">
        <v>719</v>
      </c>
      <c r="E45" s="11" t="s">
        <v>85</v>
      </c>
      <c r="F45" s="13" t="s">
        <v>688</v>
      </c>
      <c r="G45" s="10" t="s">
        <v>663</v>
      </c>
      <c r="H45" s="11" t="s">
        <v>59</v>
      </c>
      <c r="I45" s="32">
        <v>151.69</v>
      </c>
      <c r="J45" s="32">
        <v>178.46</v>
      </c>
      <c r="K45" s="27">
        <v>-0.15</v>
      </c>
      <c r="L45" s="13" t="s">
        <v>676</v>
      </c>
      <c r="M45" s="13" t="s">
        <v>696</v>
      </c>
      <c r="N45" s="10" t="s">
        <v>666</v>
      </c>
      <c r="O45" s="12">
        <v>45076</v>
      </c>
      <c r="P45" s="34">
        <v>8</v>
      </c>
      <c r="Q45" s="11" t="s">
        <v>59</v>
      </c>
    </row>
    <row r="46" spans="1:17" x14ac:dyDescent="0.35">
      <c r="A46" s="2" t="s">
        <v>745</v>
      </c>
      <c r="B46" s="3">
        <v>44992</v>
      </c>
      <c r="C46" s="2" t="s">
        <v>42</v>
      </c>
      <c r="D46" s="2" t="s">
        <v>661</v>
      </c>
      <c r="E46" s="2" t="s">
        <v>216</v>
      </c>
      <c r="F46" s="4" t="s">
        <v>706</v>
      </c>
      <c r="G46" s="10" t="s">
        <v>663</v>
      </c>
      <c r="H46" s="2" t="s">
        <v>26</v>
      </c>
      <c r="I46" s="30">
        <v>287.58</v>
      </c>
      <c r="J46" s="30">
        <v>266.27999999999997</v>
      </c>
      <c r="K46" s="27">
        <v>0.08</v>
      </c>
      <c r="L46" s="4" t="s">
        <v>670</v>
      </c>
      <c r="M46" s="4" t="s">
        <v>682</v>
      </c>
      <c r="N46" s="37" t="s">
        <v>711</v>
      </c>
      <c r="O46" s="3"/>
      <c r="P46" s="31"/>
      <c r="Q46" s="2"/>
    </row>
    <row r="47" spans="1:17" x14ac:dyDescent="0.35">
      <c r="A47" s="11" t="s">
        <v>746</v>
      </c>
      <c r="B47" s="12">
        <v>45200</v>
      </c>
      <c r="C47" s="11" t="s">
        <v>42</v>
      </c>
      <c r="D47" s="11" t="s">
        <v>477</v>
      </c>
      <c r="E47" s="11" t="s">
        <v>257</v>
      </c>
      <c r="F47" s="13" t="s">
        <v>668</v>
      </c>
      <c r="G47" s="33" t="s">
        <v>680</v>
      </c>
      <c r="H47" s="11" t="s">
        <v>33</v>
      </c>
      <c r="I47" s="32">
        <v>244.59</v>
      </c>
      <c r="J47" s="32">
        <v>252.15</v>
      </c>
      <c r="K47" s="22">
        <v>-0.03</v>
      </c>
      <c r="L47" s="13" t="s">
        <v>721</v>
      </c>
      <c r="M47" s="13" t="s">
        <v>682</v>
      </c>
      <c r="N47" s="10" t="s">
        <v>666</v>
      </c>
      <c r="O47" s="12">
        <v>45220</v>
      </c>
      <c r="P47" s="34">
        <v>20</v>
      </c>
      <c r="Q47" s="11" t="s">
        <v>55</v>
      </c>
    </row>
    <row r="48" spans="1:17" x14ac:dyDescent="0.35">
      <c r="A48" s="2" t="s">
        <v>747</v>
      </c>
      <c r="B48" s="3">
        <v>45010</v>
      </c>
      <c r="C48" s="2" t="s">
        <v>97</v>
      </c>
      <c r="D48" s="2" t="s">
        <v>719</v>
      </c>
      <c r="E48" s="2" t="s">
        <v>172</v>
      </c>
      <c r="F48" s="4" t="s">
        <v>706</v>
      </c>
      <c r="G48" s="35" t="s">
        <v>675</v>
      </c>
      <c r="H48" s="2" t="s">
        <v>59</v>
      </c>
      <c r="I48" s="30">
        <v>181.32</v>
      </c>
      <c r="J48" s="30">
        <v>186.93</v>
      </c>
      <c r="K48" s="36">
        <v>-0.03</v>
      </c>
      <c r="L48" s="4" t="s">
        <v>664</v>
      </c>
      <c r="M48" s="4" t="s">
        <v>682</v>
      </c>
      <c r="N48" s="10" t="s">
        <v>666</v>
      </c>
      <c r="O48" s="3">
        <v>45020</v>
      </c>
      <c r="P48" s="31">
        <v>10</v>
      </c>
      <c r="Q48" s="2" t="s">
        <v>55</v>
      </c>
    </row>
    <row r="49" spans="1:17" x14ac:dyDescent="0.35">
      <c r="A49" s="11" t="s">
        <v>748</v>
      </c>
      <c r="B49" s="12">
        <v>45159</v>
      </c>
      <c r="C49" s="11" t="s">
        <v>51</v>
      </c>
      <c r="D49" s="11" t="s">
        <v>691</v>
      </c>
      <c r="E49" s="11" t="s">
        <v>265</v>
      </c>
      <c r="F49" s="13" t="s">
        <v>695</v>
      </c>
      <c r="G49" s="10" t="s">
        <v>663</v>
      </c>
      <c r="H49" s="11" t="s">
        <v>44</v>
      </c>
      <c r="I49" s="32">
        <v>154.58000000000001</v>
      </c>
      <c r="J49" s="32">
        <v>193.22</v>
      </c>
      <c r="K49" s="27">
        <v>-0.2</v>
      </c>
      <c r="L49" s="13" t="s">
        <v>676</v>
      </c>
      <c r="M49" s="13" t="s">
        <v>665</v>
      </c>
      <c r="N49" s="10" t="s">
        <v>666</v>
      </c>
      <c r="O49" s="12">
        <v>45170</v>
      </c>
      <c r="P49" s="34">
        <v>11</v>
      </c>
      <c r="Q49" s="11" t="s">
        <v>44</v>
      </c>
    </row>
    <row r="50" spans="1:17" x14ac:dyDescent="0.35">
      <c r="A50" s="2" t="s">
        <v>749</v>
      </c>
      <c r="B50" s="3">
        <v>45098</v>
      </c>
      <c r="C50" s="2" t="s">
        <v>31</v>
      </c>
      <c r="D50" s="2" t="s">
        <v>661</v>
      </c>
      <c r="E50" s="2" t="s">
        <v>216</v>
      </c>
      <c r="F50" s="4" t="s">
        <v>688</v>
      </c>
      <c r="G50" s="33" t="s">
        <v>680</v>
      </c>
      <c r="H50" s="2" t="s">
        <v>59</v>
      </c>
      <c r="I50" s="30">
        <v>348.44</v>
      </c>
      <c r="J50" s="30">
        <v>378.74</v>
      </c>
      <c r="K50" s="22">
        <v>-0.08</v>
      </c>
      <c r="L50" s="4" t="s">
        <v>732</v>
      </c>
      <c r="M50" s="4" t="s">
        <v>693</v>
      </c>
      <c r="N50" s="37" t="s">
        <v>711</v>
      </c>
      <c r="O50" s="3"/>
      <c r="P50" s="31"/>
      <c r="Q50" s="2"/>
    </row>
    <row r="51" spans="1:17" x14ac:dyDescent="0.35">
      <c r="A51" s="11" t="s">
        <v>750</v>
      </c>
      <c r="B51" s="12">
        <v>45135</v>
      </c>
      <c r="C51" s="11" t="s">
        <v>23</v>
      </c>
      <c r="D51" s="11" t="s">
        <v>713</v>
      </c>
      <c r="E51" s="11" t="s">
        <v>293</v>
      </c>
      <c r="F51" s="13" t="s">
        <v>695</v>
      </c>
      <c r="G51" s="35" t="s">
        <v>675</v>
      </c>
      <c r="H51" s="11" t="s">
        <v>55</v>
      </c>
      <c r="I51" s="32">
        <v>252.64</v>
      </c>
      <c r="J51" s="32">
        <v>260.45</v>
      </c>
      <c r="K51" s="36">
        <v>-0.03</v>
      </c>
      <c r="L51" s="13" t="s">
        <v>732</v>
      </c>
      <c r="M51" s="13" t="s">
        <v>693</v>
      </c>
      <c r="N51" s="33" t="s">
        <v>672</v>
      </c>
      <c r="O51" s="12"/>
      <c r="P51" s="34"/>
      <c r="Q51" s="11"/>
    </row>
    <row r="52" spans="1:17" x14ac:dyDescent="0.35">
      <c r="A52" s="2" t="s">
        <v>751</v>
      </c>
      <c r="B52" s="3">
        <v>45052</v>
      </c>
      <c r="C52" s="2" t="s">
        <v>51</v>
      </c>
      <c r="D52" s="2" t="s">
        <v>661</v>
      </c>
      <c r="E52" s="2" t="s">
        <v>389</v>
      </c>
      <c r="F52" s="4" t="s">
        <v>662</v>
      </c>
      <c r="G52" s="35" t="s">
        <v>675</v>
      </c>
      <c r="H52" s="2" t="s">
        <v>33</v>
      </c>
      <c r="I52" s="30">
        <v>249.37</v>
      </c>
      <c r="J52" s="30">
        <v>277.08</v>
      </c>
      <c r="K52" s="36">
        <v>-0.1</v>
      </c>
      <c r="L52" s="4" t="s">
        <v>664</v>
      </c>
      <c r="M52" s="4" t="s">
        <v>677</v>
      </c>
      <c r="N52" s="33" t="s">
        <v>672</v>
      </c>
      <c r="O52" s="3"/>
      <c r="P52" s="31"/>
      <c r="Q52" s="2"/>
    </row>
    <row r="53" spans="1:17" x14ac:dyDescent="0.35">
      <c r="A53" s="11" t="s">
        <v>752</v>
      </c>
      <c r="B53" s="12">
        <v>45116</v>
      </c>
      <c r="C53" s="11" t="s">
        <v>97</v>
      </c>
      <c r="D53" s="11" t="s">
        <v>661</v>
      </c>
      <c r="E53" s="11" t="s">
        <v>443</v>
      </c>
      <c r="F53" s="13" t="s">
        <v>695</v>
      </c>
      <c r="G53" s="35" t="s">
        <v>675</v>
      </c>
      <c r="H53" s="11" t="s">
        <v>26</v>
      </c>
      <c r="I53" s="32">
        <v>120.74</v>
      </c>
      <c r="J53" s="32">
        <v>127.1</v>
      </c>
      <c r="K53" s="36">
        <v>-0.05</v>
      </c>
      <c r="L53" s="13" t="s">
        <v>670</v>
      </c>
      <c r="M53" s="13" t="s">
        <v>693</v>
      </c>
      <c r="N53" s="10" t="s">
        <v>666</v>
      </c>
      <c r="O53" s="12">
        <v>45120</v>
      </c>
      <c r="P53" s="34">
        <v>4</v>
      </c>
      <c r="Q53" s="11" t="s">
        <v>33</v>
      </c>
    </row>
    <row r="54" spans="1:17" x14ac:dyDescent="0.35">
      <c r="A54" s="2" t="s">
        <v>753</v>
      </c>
      <c r="B54" s="3">
        <v>45033</v>
      </c>
      <c r="C54" s="2" t="s">
        <v>42</v>
      </c>
      <c r="D54" s="2" t="s">
        <v>684</v>
      </c>
      <c r="E54" s="2" t="s">
        <v>216</v>
      </c>
      <c r="F54" s="4" t="s">
        <v>668</v>
      </c>
      <c r="G54" s="20" t="s">
        <v>669</v>
      </c>
      <c r="H54" s="2" t="s">
        <v>26</v>
      </c>
      <c r="I54" s="30">
        <v>231.61</v>
      </c>
      <c r="J54" s="30">
        <v>272.48</v>
      </c>
      <c r="K54" s="24">
        <v>-0.15</v>
      </c>
      <c r="L54" s="4" t="s">
        <v>686</v>
      </c>
      <c r="M54" s="4" t="s">
        <v>682</v>
      </c>
      <c r="N54" s="10" t="s">
        <v>666</v>
      </c>
      <c r="O54" s="3">
        <v>45051</v>
      </c>
      <c r="P54" s="31">
        <v>18</v>
      </c>
      <c r="Q54" s="2" t="s">
        <v>33</v>
      </c>
    </row>
    <row r="55" spans="1:17" x14ac:dyDescent="0.35">
      <c r="A55" s="11" t="s">
        <v>754</v>
      </c>
      <c r="B55" s="12">
        <v>44930</v>
      </c>
      <c r="C55" s="11" t="s">
        <v>51</v>
      </c>
      <c r="D55" s="11" t="s">
        <v>725</v>
      </c>
      <c r="E55" s="11" t="s">
        <v>123</v>
      </c>
      <c r="F55" s="13" t="s">
        <v>668</v>
      </c>
      <c r="G55" s="20" t="s">
        <v>669</v>
      </c>
      <c r="H55" s="11" t="s">
        <v>59</v>
      </c>
      <c r="I55" s="32">
        <v>228.72</v>
      </c>
      <c r="J55" s="32">
        <v>217.83</v>
      </c>
      <c r="K55" s="24">
        <v>0.05</v>
      </c>
      <c r="L55" s="13" t="s">
        <v>721</v>
      </c>
      <c r="M55" s="13" t="s">
        <v>671</v>
      </c>
      <c r="N55" s="10" t="s">
        <v>666</v>
      </c>
      <c r="O55" s="12">
        <v>44934</v>
      </c>
      <c r="P55" s="34">
        <v>4</v>
      </c>
      <c r="Q55" s="11" t="s">
        <v>59</v>
      </c>
    </row>
    <row r="56" spans="1:17" x14ac:dyDescent="0.35">
      <c r="A56" s="2" t="s">
        <v>755</v>
      </c>
      <c r="B56" s="3">
        <v>44956</v>
      </c>
      <c r="C56" s="2" t="s">
        <v>42</v>
      </c>
      <c r="D56" s="2" t="s">
        <v>661</v>
      </c>
      <c r="E56" s="2" t="s">
        <v>385</v>
      </c>
      <c r="F56" s="4" t="s">
        <v>695</v>
      </c>
      <c r="G56" s="35" t="s">
        <v>675</v>
      </c>
      <c r="H56" s="2" t="s">
        <v>59</v>
      </c>
      <c r="I56" s="30">
        <v>152.66999999999999</v>
      </c>
      <c r="J56" s="30">
        <v>141.36000000000001</v>
      </c>
      <c r="K56" s="36">
        <v>0.08</v>
      </c>
      <c r="L56" s="4" t="s">
        <v>664</v>
      </c>
      <c r="M56" s="4" t="s">
        <v>698</v>
      </c>
      <c r="N56" s="10" t="s">
        <v>666</v>
      </c>
      <c r="O56" s="3">
        <v>44957</v>
      </c>
      <c r="P56" s="31">
        <v>1</v>
      </c>
      <c r="Q56" s="2" t="s">
        <v>44</v>
      </c>
    </row>
    <row r="57" spans="1:17" x14ac:dyDescent="0.35">
      <c r="A57" s="11" t="s">
        <v>756</v>
      </c>
      <c r="B57" s="12">
        <v>45282</v>
      </c>
      <c r="C57" s="11" t="s">
        <v>23</v>
      </c>
      <c r="D57" s="11" t="s">
        <v>713</v>
      </c>
      <c r="E57" s="11" t="s">
        <v>204</v>
      </c>
      <c r="F57" s="13" t="s">
        <v>674</v>
      </c>
      <c r="G57" s="20" t="s">
        <v>669</v>
      </c>
      <c r="H57" s="11" t="s">
        <v>26</v>
      </c>
      <c r="I57" s="32">
        <v>233.02</v>
      </c>
      <c r="J57" s="32">
        <v>274.14</v>
      </c>
      <c r="K57" s="24">
        <v>-0.15</v>
      </c>
      <c r="L57" s="13" t="s">
        <v>721</v>
      </c>
      <c r="M57" s="13" t="s">
        <v>671</v>
      </c>
      <c r="N57" s="10" t="s">
        <v>666</v>
      </c>
      <c r="O57" s="12">
        <v>45294</v>
      </c>
      <c r="P57" s="34">
        <v>12</v>
      </c>
      <c r="Q57" s="11" t="s">
        <v>59</v>
      </c>
    </row>
    <row r="58" spans="1:17" x14ac:dyDescent="0.35">
      <c r="A58" s="2" t="s">
        <v>757</v>
      </c>
      <c r="B58" s="3">
        <v>45173</v>
      </c>
      <c r="C58" s="2" t="s">
        <v>51</v>
      </c>
      <c r="D58" s="2" t="s">
        <v>494</v>
      </c>
      <c r="E58" s="2" t="s">
        <v>228</v>
      </c>
      <c r="F58" s="4" t="s">
        <v>668</v>
      </c>
      <c r="G58" s="10" t="s">
        <v>663</v>
      </c>
      <c r="H58" s="2" t="s">
        <v>33</v>
      </c>
      <c r="I58" s="30">
        <v>213.37</v>
      </c>
      <c r="J58" s="30">
        <v>207.16</v>
      </c>
      <c r="K58" s="27">
        <v>0.03</v>
      </c>
      <c r="L58" s="4" t="s">
        <v>721</v>
      </c>
      <c r="M58" s="4" t="s">
        <v>696</v>
      </c>
      <c r="N58" s="10" t="s">
        <v>666</v>
      </c>
      <c r="O58" s="3">
        <v>45190</v>
      </c>
      <c r="P58" s="31">
        <v>17</v>
      </c>
      <c r="Q58" s="2" t="s">
        <v>59</v>
      </c>
    </row>
    <row r="59" spans="1:17" x14ac:dyDescent="0.35">
      <c r="A59" s="11" t="s">
        <v>758</v>
      </c>
      <c r="B59" s="12">
        <v>44965</v>
      </c>
      <c r="C59" s="11" t="s">
        <v>42</v>
      </c>
      <c r="D59" s="11" t="s">
        <v>471</v>
      </c>
      <c r="E59" s="11" t="s">
        <v>83</v>
      </c>
      <c r="F59" s="13" t="s">
        <v>668</v>
      </c>
      <c r="G59" s="33" t="s">
        <v>680</v>
      </c>
      <c r="H59" s="11" t="s">
        <v>26</v>
      </c>
      <c r="I59" s="32">
        <v>76.28</v>
      </c>
      <c r="J59" s="32">
        <v>78.64</v>
      </c>
      <c r="K59" s="22">
        <v>-0.03</v>
      </c>
      <c r="L59" s="13" t="s">
        <v>692</v>
      </c>
      <c r="M59" s="13" t="s">
        <v>682</v>
      </c>
      <c r="N59" s="33" t="s">
        <v>672</v>
      </c>
      <c r="O59" s="12"/>
      <c r="P59" s="34"/>
      <c r="Q59" s="11"/>
    </row>
    <row r="60" spans="1:17" x14ac:dyDescent="0.35">
      <c r="A60" s="2" t="s">
        <v>759</v>
      </c>
      <c r="B60" s="3">
        <v>45168</v>
      </c>
      <c r="C60" s="2" t="s">
        <v>97</v>
      </c>
      <c r="D60" s="2" t="s">
        <v>719</v>
      </c>
      <c r="E60" s="2" t="s">
        <v>337</v>
      </c>
      <c r="F60" s="4" t="s">
        <v>695</v>
      </c>
      <c r="G60" s="33" t="s">
        <v>680</v>
      </c>
      <c r="H60" s="2" t="s">
        <v>55</v>
      </c>
      <c r="I60" s="30">
        <v>98.46</v>
      </c>
      <c r="J60" s="30">
        <v>91.17</v>
      </c>
      <c r="K60" s="22">
        <v>0.08</v>
      </c>
      <c r="L60" s="4" t="s">
        <v>681</v>
      </c>
      <c r="M60" s="4" t="s">
        <v>671</v>
      </c>
      <c r="N60" s="37" t="s">
        <v>711</v>
      </c>
      <c r="O60" s="3"/>
      <c r="P60" s="31"/>
      <c r="Q60" s="2"/>
    </row>
    <row r="61" spans="1:17" x14ac:dyDescent="0.35">
      <c r="A61" s="11" t="s">
        <v>760</v>
      </c>
      <c r="B61" s="12">
        <v>44964</v>
      </c>
      <c r="C61" s="11" t="s">
        <v>23</v>
      </c>
      <c r="D61" s="11" t="s">
        <v>490</v>
      </c>
      <c r="E61" s="11" t="s">
        <v>285</v>
      </c>
      <c r="F61" s="13" t="s">
        <v>708</v>
      </c>
      <c r="G61" s="33" t="s">
        <v>680</v>
      </c>
      <c r="H61" s="11" t="s">
        <v>59</v>
      </c>
      <c r="I61" s="32">
        <v>333.1</v>
      </c>
      <c r="J61" s="32">
        <v>317.24</v>
      </c>
      <c r="K61" s="22">
        <v>0.05</v>
      </c>
      <c r="L61" s="13" t="s">
        <v>721</v>
      </c>
      <c r="M61" s="13" t="s">
        <v>677</v>
      </c>
      <c r="N61" s="33" t="s">
        <v>672</v>
      </c>
      <c r="O61" s="12"/>
      <c r="P61" s="34"/>
      <c r="Q61" s="11"/>
    </row>
    <row r="62" spans="1:17" x14ac:dyDescent="0.35">
      <c r="A62" s="2" t="s">
        <v>761</v>
      </c>
      <c r="B62" s="3">
        <v>45013</v>
      </c>
      <c r="C62" s="2" t="s">
        <v>51</v>
      </c>
      <c r="D62" s="2" t="s">
        <v>471</v>
      </c>
      <c r="E62" s="2" t="s">
        <v>429</v>
      </c>
      <c r="F62" s="4" t="s">
        <v>679</v>
      </c>
      <c r="G62" s="33" t="s">
        <v>680</v>
      </c>
      <c r="H62" s="2" t="s">
        <v>26</v>
      </c>
      <c r="I62" s="30">
        <v>275.08999999999997</v>
      </c>
      <c r="J62" s="30">
        <v>229.24</v>
      </c>
      <c r="K62" s="22">
        <v>0.2</v>
      </c>
      <c r="L62" s="4" t="s">
        <v>681</v>
      </c>
      <c r="M62" s="4" t="s">
        <v>671</v>
      </c>
      <c r="N62" s="10" t="s">
        <v>666</v>
      </c>
      <c r="O62" s="3">
        <v>45031</v>
      </c>
      <c r="P62" s="31">
        <v>18</v>
      </c>
      <c r="Q62" s="2" t="s">
        <v>33</v>
      </c>
    </row>
    <row r="63" spans="1:17" x14ac:dyDescent="0.35">
      <c r="A63" s="11" t="s">
        <v>762</v>
      </c>
      <c r="B63" s="12">
        <v>45024</v>
      </c>
      <c r="C63" s="11" t="s">
        <v>42</v>
      </c>
      <c r="D63" s="11" t="s">
        <v>710</v>
      </c>
      <c r="E63" s="11" t="s">
        <v>99</v>
      </c>
      <c r="F63" s="13" t="s">
        <v>662</v>
      </c>
      <c r="G63" s="20" t="s">
        <v>669</v>
      </c>
      <c r="H63" s="11" t="s">
        <v>26</v>
      </c>
      <c r="I63" s="32">
        <v>356.29</v>
      </c>
      <c r="J63" s="32">
        <v>367.31</v>
      </c>
      <c r="K63" s="24">
        <v>-0.03</v>
      </c>
      <c r="L63" s="13" t="s">
        <v>681</v>
      </c>
      <c r="M63" s="13" t="s">
        <v>698</v>
      </c>
      <c r="N63" s="10" t="s">
        <v>666</v>
      </c>
      <c r="O63" s="12">
        <v>45044</v>
      </c>
      <c r="P63" s="34">
        <v>20</v>
      </c>
      <c r="Q63" s="11" t="s">
        <v>59</v>
      </c>
    </row>
    <row r="64" spans="1:17" x14ac:dyDescent="0.35">
      <c r="A64" s="2" t="s">
        <v>763</v>
      </c>
      <c r="B64" s="3">
        <v>45276</v>
      </c>
      <c r="C64" s="2" t="s">
        <v>97</v>
      </c>
      <c r="D64" s="2" t="s">
        <v>477</v>
      </c>
      <c r="E64" s="2" t="s">
        <v>349</v>
      </c>
      <c r="F64" s="4" t="s">
        <v>685</v>
      </c>
      <c r="G64" s="10" t="s">
        <v>663</v>
      </c>
      <c r="H64" s="2" t="s">
        <v>26</v>
      </c>
      <c r="I64" s="30">
        <v>335.27</v>
      </c>
      <c r="J64" s="30">
        <v>304.79000000000002</v>
      </c>
      <c r="K64" s="27">
        <v>0.1</v>
      </c>
      <c r="L64" s="4" t="s">
        <v>732</v>
      </c>
      <c r="M64" s="4" t="s">
        <v>671</v>
      </c>
      <c r="N64" s="33" t="s">
        <v>672</v>
      </c>
      <c r="O64" s="3"/>
      <c r="P64" s="31"/>
      <c r="Q64" s="2"/>
    </row>
    <row r="65" spans="1:17" x14ac:dyDescent="0.35">
      <c r="A65" s="11" t="s">
        <v>764</v>
      </c>
      <c r="B65" s="12">
        <v>44998</v>
      </c>
      <c r="C65" s="11" t="s">
        <v>51</v>
      </c>
      <c r="D65" s="11" t="s">
        <v>691</v>
      </c>
      <c r="E65" s="11" t="s">
        <v>131</v>
      </c>
      <c r="F65" s="13" t="s">
        <v>708</v>
      </c>
      <c r="G65" s="33" t="s">
        <v>680</v>
      </c>
      <c r="H65" s="11" t="s">
        <v>33</v>
      </c>
      <c r="I65" s="32">
        <v>263.48</v>
      </c>
      <c r="J65" s="32">
        <v>292.76</v>
      </c>
      <c r="K65" s="22">
        <v>-0.1</v>
      </c>
      <c r="L65" s="13" t="s">
        <v>686</v>
      </c>
      <c r="M65" s="13" t="s">
        <v>665</v>
      </c>
      <c r="N65" s="10" t="s">
        <v>666</v>
      </c>
      <c r="O65" s="12">
        <v>45000</v>
      </c>
      <c r="P65" s="34">
        <v>2</v>
      </c>
      <c r="Q65" s="11" t="s">
        <v>33</v>
      </c>
    </row>
    <row r="66" spans="1:17" x14ac:dyDescent="0.35">
      <c r="A66" s="2" t="s">
        <v>765</v>
      </c>
      <c r="B66" s="3">
        <v>45286</v>
      </c>
      <c r="C66" s="2" t="s">
        <v>42</v>
      </c>
      <c r="D66" s="2" t="s">
        <v>710</v>
      </c>
      <c r="E66" s="2" t="s">
        <v>206</v>
      </c>
      <c r="F66" s="4" t="s">
        <v>688</v>
      </c>
      <c r="G66" s="33" t="s">
        <v>680</v>
      </c>
      <c r="H66" s="2" t="s">
        <v>59</v>
      </c>
      <c r="I66" s="30">
        <v>245.39</v>
      </c>
      <c r="J66" s="30">
        <v>204.49</v>
      </c>
      <c r="K66" s="22">
        <v>0.2</v>
      </c>
      <c r="L66" s="4" t="s">
        <v>732</v>
      </c>
      <c r="M66" s="4" t="s">
        <v>677</v>
      </c>
      <c r="N66" s="37" t="s">
        <v>711</v>
      </c>
      <c r="O66" s="3"/>
      <c r="P66" s="31"/>
      <c r="Q66" s="2"/>
    </row>
    <row r="67" spans="1:17" x14ac:dyDescent="0.35">
      <c r="A67" s="11" t="s">
        <v>766</v>
      </c>
      <c r="B67" s="12">
        <v>45270</v>
      </c>
      <c r="C67" s="11" t="s">
        <v>97</v>
      </c>
      <c r="D67" s="11" t="s">
        <v>471</v>
      </c>
      <c r="E67" s="11" t="s">
        <v>427</v>
      </c>
      <c r="F67" s="13" t="s">
        <v>662</v>
      </c>
      <c r="G67" s="33" t="s">
        <v>680</v>
      </c>
      <c r="H67" s="11" t="s">
        <v>26</v>
      </c>
      <c r="I67" s="32">
        <v>178.05</v>
      </c>
      <c r="J67" s="32">
        <v>164.86</v>
      </c>
      <c r="K67" s="22">
        <v>0.08</v>
      </c>
      <c r="L67" s="13" t="s">
        <v>721</v>
      </c>
      <c r="M67" s="13" t="s">
        <v>698</v>
      </c>
      <c r="N67" s="10" t="s">
        <v>666</v>
      </c>
      <c r="O67" s="12">
        <v>45276</v>
      </c>
      <c r="P67" s="34">
        <v>6</v>
      </c>
      <c r="Q67" s="11" t="s">
        <v>59</v>
      </c>
    </row>
    <row r="68" spans="1:17" x14ac:dyDescent="0.35">
      <c r="A68" s="2" t="s">
        <v>767</v>
      </c>
      <c r="B68" s="3">
        <v>45077</v>
      </c>
      <c r="C68" s="2" t="s">
        <v>42</v>
      </c>
      <c r="D68" s="2" t="s">
        <v>471</v>
      </c>
      <c r="E68" s="2" t="s">
        <v>67</v>
      </c>
      <c r="F68" s="4" t="s">
        <v>685</v>
      </c>
      <c r="G68" s="10" t="s">
        <v>663</v>
      </c>
      <c r="H68" s="2" t="s">
        <v>59</v>
      </c>
      <c r="I68" s="30">
        <v>194.8</v>
      </c>
      <c r="J68" s="30">
        <v>200.82</v>
      </c>
      <c r="K68" s="27">
        <v>-0.03</v>
      </c>
      <c r="L68" s="4" t="s">
        <v>664</v>
      </c>
      <c r="M68" s="4" t="s">
        <v>682</v>
      </c>
      <c r="N68" s="37" t="s">
        <v>711</v>
      </c>
      <c r="O68" s="3"/>
      <c r="P68" s="31"/>
      <c r="Q68" s="2"/>
    </row>
    <row r="69" spans="1:17" x14ac:dyDescent="0.35">
      <c r="A69" s="11" t="s">
        <v>768</v>
      </c>
      <c r="B69" s="12">
        <v>45252</v>
      </c>
      <c r="C69" s="11" t="s">
        <v>23</v>
      </c>
      <c r="D69" s="11" t="s">
        <v>684</v>
      </c>
      <c r="E69" s="11" t="s">
        <v>64</v>
      </c>
      <c r="F69" s="13" t="s">
        <v>706</v>
      </c>
      <c r="G69" s="10" t="s">
        <v>663</v>
      </c>
      <c r="H69" s="11" t="s">
        <v>33</v>
      </c>
      <c r="I69" s="32">
        <v>304.82</v>
      </c>
      <c r="J69" s="32">
        <v>381.02</v>
      </c>
      <c r="K69" s="27">
        <v>-0.2</v>
      </c>
      <c r="L69" s="13" t="s">
        <v>676</v>
      </c>
      <c r="M69" s="13" t="s">
        <v>682</v>
      </c>
      <c r="N69" s="33" t="s">
        <v>672</v>
      </c>
      <c r="O69" s="12"/>
      <c r="P69" s="34"/>
      <c r="Q69" s="11"/>
    </row>
    <row r="70" spans="1:17" x14ac:dyDescent="0.35">
      <c r="A70" s="2" t="s">
        <v>769</v>
      </c>
      <c r="B70" s="3">
        <v>44979</v>
      </c>
      <c r="C70" s="2" t="s">
        <v>42</v>
      </c>
      <c r="D70" s="2" t="s">
        <v>691</v>
      </c>
      <c r="E70" s="2" t="s">
        <v>222</v>
      </c>
      <c r="F70" s="4" t="s">
        <v>662</v>
      </c>
      <c r="G70" s="10" t="s">
        <v>663</v>
      </c>
      <c r="H70" s="2" t="s">
        <v>26</v>
      </c>
      <c r="I70" s="30">
        <v>189.7</v>
      </c>
      <c r="J70" s="30">
        <v>195.57</v>
      </c>
      <c r="K70" s="27">
        <v>-0.03</v>
      </c>
      <c r="L70" s="4" t="s">
        <v>681</v>
      </c>
      <c r="M70" s="4" t="s">
        <v>665</v>
      </c>
      <c r="N70" s="10" t="s">
        <v>666</v>
      </c>
      <c r="O70" s="3">
        <v>44994</v>
      </c>
      <c r="P70" s="31">
        <v>15</v>
      </c>
      <c r="Q70" s="2" t="s">
        <v>26</v>
      </c>
    </row>
    <row r="71" spans="1:17" x14ac:dyDescent="0.35">
      <c r="A71" s="11" t="s">
        <v>770</v>
      </c>
      <c r="B71" s="12">
        <v>45184</v>
      </c>
      <c r="C71" s="11" t="s">
        <v>23</v>
      </c>
      <c r="D71" s="11" t="s">
        <v>494</v>
      </c>
      <c r="E71" s="11" t="s">
        <v>293</v>
      </c>
      <c r="F71" s="13" t="s">
        <v>668</v>
      </c>
      <c r="G71" s="35" t="s">
        <v>675</v>
      </c>
      <c r="H71" s="11" t="s">
        <v>59</v>
      </c>
      <c r="I71" s="32">
        <v>224.62</v>
      </c>
      <c r="J71" s="32">
        <v>280.77999999999997</v>
      </c>
      <c r="K71" s="36">
        <v>-0.2</v>
      </c>
      <c r="L71" s="13" t="s">
        <v>686</v>
      </c>
      <c r="M71" s="13" t="s">
        <v>665</v>
      </c>
      <c r="N71" s="10" t="s">
        <v>666</v>
      </c>
      <c r="O71" s="12">
        <v>45190</v>
      </c>
      <c r="P71" s="34">
        <v>6</v>
      </c>
      <c r="Q71" s="11" t="s">
        <v>33</v>
      </c>
    </row>
    <row r="72" spans="1:17" x14ac:dyDescent="0.35">
      <c r="A72" s="2" t="s">
        <v>771</v>
      </c>
      <c r="B72" s="3">
        <v>45195</v>
      </c>
      <c r="C72" s="2" t="s">
        <v>51</v>
      </c>
      <c r="D72" s="2" t="s">
        <v>710</v>
      </c>
      <c r="E72" s="2" t="s">
        <v>329</v>
      </c>
      <c r="F72" s="4" t="s">
        <v>704</v>
      </c>
      <c r="G72" s="33" t="s">
        <v>680</v>
      </c>
      <c r="H72" s="2" t="s">
        <v>33</v>
      </c>
      <c r="I72" s="30">
        <v>116.86</v>
      </c>
      <c r="J72" s="30">
        <v>146.07</v>
      </c>
      <c r="K72" s="22">
        <v>-0.2</v>
      </c>
      <c r="L72" s="4" t="s">
        <v>692</v>
      </c>
      <c r="M72" s="4" t="s">
        <v>696</v>
      </c>
      <c r="N72" s="10" t="s">
        <v>666</v>
      </c>
      <c r="O72" s="3">
        <v>45209</v>
      </c>
      <c r="P72" s="31">
        <v>14</v>
      </c>
      <c r="Q72" s="2" t="s">
        <v>59</v>
      </c>
    </row>
    <row r="73" spans="1:17" x14ac:dyDescent="0.35">
      <c r="A73" s="11" t="s">
        <v>772</v>
      </c>
      <c r="B73" s="12">
        <v>44991</v>
      </c>
      <c r="C73" s="11" t="s">
        <v>23</v>
      </c>
      <c r="D73" s="11" t="s">
        <v>477</v>
      </c>
      <c r="E73" s="11" t="s">
        <v>455</v>
      </c>
      <c r="F73" s="13" t="s">
        <v>706</v>
      </c>
      <c r="G73" s="33" t="s">
        <v>680</v>
      </c>
      <c r="H73" s="11" t="s">
        <v>44</v>
      </c>
      <c r="I73" s="32">
        <v>304.06</v>
      </c>
      <c r="J73" s="32">
        <v>289.58</v>
      </c>
      <c r="K73" s="22">
        <v>0.05</v>
      </c>
      <c r="L73" s="13" t="s">
        <v>681</v>
      </c>
      <c r="M73" s="13" t="s">
        <v>698</v>
      </c>
      <c r="N73" s="10" t="s">
        <v>666</v>
      </c>
      <c r="O73" s="12">
        <v>44998</v>
      </c>
      <c r="P73" s="34">
        <v>7</v>
      </c>
      <c r="Q73" s="11" t="s">
        <v>26</v>
      </c>
    </row>
    <row r="74" spans="1:17" x14ac:dyDescent="0.35">
      <c r="A74" s="2" t="s">
        <v>773</v>
      </c>
      <c r="B74" s="3">
        <v>45086</v>
      </c>
      <c r="C74" s="2" t="s">
        <v>23</v>
      </c>
      <c r="D74" s="2" t="s">
        <v>691</v>
      </c>
      <c r="E74" s="2" t="s">
        <v>150</v>
      </c>
      <c r="F74" s="4" t="s">
        <v>706</v>
      </c>
      <c r="G74" s="33" t="s">
        <v>680</v>
      </c>
      <c r="H74" s="2" t="s">
        <v>26</v>
      </c>
      <c r="I74" s="30">
        <v>287.14</v>
      </c>
      <c r="J74" s="30">
        <v>358.92</v>
      </c>
      <c r="K74" s="22">
        <v>-0.2</v>
      </c>
      <c r="L74" s="4" t="s">
        <v>686</v>
      </c>
      <c r="M74" s="4" t="s">
        <v>682</v>
      </c>
      <c r="N74" s="10" t="s">
        <v>666</v>
      </c>
      <c r="O74" s="3">
        <v>45089</v>
      </c>
      <c r="P74" s="31">
        <v>3</v>
      </c>
      <c r="Q74" s="2" t="s">
        <v>59</v>
      </c>
    </row>
    <row r="75" spans="1:17" x14ac:dyDescent="0.35">
      <c r="A75" s="11" t="s">
        <v>774</v>
      </c>
      <c r="B75" s="12">
        <v>45212</v>
      </c>
      <c r="C75" s="11" t="s">
        <v>42</v>
      </c>
      <c r="D75" s="11" t="s">
        <v>715</v>
      </c>
      <c r="E75" s="11" t="s">
        <v>236</v>
      </c>
      <c r="F75" s="13" t="s">
        <v>706</v>
      </c>
      <c r="G75" s="33" t="s">
        <v>680</v>
      </c>
      <c r="H75" s="11" t="s">
        <v>26</v>
      </c>
      <c r="I75" s="32">
        <v>340.96</v>
      </c>
      <c r="J75" s="32">
        <v>324.72000000000003</v>
      </c>
      <c r="K75" s="22">
        <v>0.05</v>
      </c>
      <c r="L75" s="13" t="s">
        <v>681</v>
      </c>
      <c r="M75" s="13" t="s">
        <v>696</v>
      </c>
      <c r="N75" s="10" t="s">
        <v>666</v>
      </c>
      <c r="O75" s="12">
        <v>45220</v>
      </c>
      <c r="P75" s="34">
        <v>8</v>
      </c>
      <c r="Q75" s="11" t="s">
        <v>44</v>
      </c>
    </row>
    <row r="76" spans="1:17" x14ac:dyDescent="0.35">
      <c r="A76" s="2" t="s">
        <v>775</v>
      </c>
      <c r="B76" s="3">
        <v>45041</v>
      </c>
      <c r="C76" s="2" t="s">
        <v>31</v>
      </c>
      <c r="D76" s="2" t="s">
        <v>715</v>
      </c>
      <c r="E76" s="2" t="s">
        <v>141</v>
      </c>
      <c r="F76" s="4" t="s">
        <v>679</v>
      </c>
      <c r="G76" s="35" t="s">
        <v>675</v>
      </c>
      <c r="H76" s="2" t="s">
        <v>26</v>
      </c>
      <c r="I76" s="30">
        <v>277.54000000000002</v>
      </c>
      <c r="J76" s="30">
        <v>301.67</v>
      </c>
      <c r="K76" s="36">
        <v>-0.08</v>
      </c>
      <c r="L76" s="4" t="s">
        <v>676</v>
      </c>
      <c r="M76" s="4" t="s">
        <v>698</v>
      </c>
      <c r="N76" s="10" t="s">
        <v>666</v>
      </c>
      <c r="O76" s="3">
        <v>45054</v>
      </c>
      <c r="P76" s="31">
        <v>13</v>
      </c>
      <c r="Q76" s="2" t="s">
        <v>33</v>
      </c>
    </row>
    <row r="77" spans="1:17" x14ac:dyDescent="0.35">
      <c r="A77" s="11" t="s">
        <v>776</v>
      </c>
      <c r="B77" s="12">
        <v>45132</v>
      </c>
      <c r="C77" s="11" t="s">
        <v>97</v>
      </c>
      <c r="D77" s="11" t="s">
        <v>494</v>
      </c>
      <c r="E77" s="11" t="s">
        <v>234</v>
      </c>
      <c r="F77" s="13" t="s">
        <v>685</v>
      </c>
      <c r="G77" s="33" t="s">
        <v>680</v>
      </c>
      <c r="H77" s="11" t="s">
        <v>44</v>
      </c>
      <c r="I77" s="32">
        <v>164.14</v>
      </c>
      <c r="J77" s="32">
        <v>149.22</v>
      </c>
      <c r="K77" s="22">
        <v>0.1</v>
      </c>
      <c r="L77" s="13" t="s">
        <v>676</v>
      </c>
      <c r="M77" s="13" t="s">
        <v>677</v>
      </c>
      <c r="N77" s="33" t="s">
        <v>672</v>
      </c>
      <c r="O77" s="12"/>
      <c r="P77" s="34"/>
      <c r="Q77" s="11"/>
    </row>
    <row r="78" spans="1:17" x14ac:dyDescent="0.35">
      <c r="A78" s="2" t="s">
        <v>777</v>
      </c>
      <c r="B78" s="3">
        <v>45150</v>
      </c>
      <c r="C78" s="2" t="s">
        <v>31</v>
      </c>
      <c r="D78" s="2" t="s">
        <v>490</v>
      </c>
      <c r="E78" s="2" t="s">
        <v>357</v>
      </c>
      <c r="F78" s="4" t="s">
        <v>706</v>
      </c>
      <c r="G78" s="10" t="s">
        <v>663</v>
      </c>
      <c r="H78" s="2" t="s">
        <v>33</v>
      </c>
      <c r="I78" s="30">
        <v>196.53</v>
      </c>
      <c r="J78" s="30">
        <v>181.97</v>
      </c>
      <c r="K78" s="27">
        <v>0.08</v>
      </c>
      <c r="L78" s="4" t="s">
        <v>732</v>
      </c>
      <c r="M78" s="4" t="s">
        <v>682</v>
      </c>
      <c r="N78" s="37" t="s">
        <v>711</v>
      </c>
      <c r="O78" s="3"/>
      <c r="P78" s="31"/>
      <c r="Q78" s="2"/>
    </row>
    <row r="79" spans="1:17" x14ac:dyDescent="0.35">
      <c r="A79" s="11" t="s">
        <v>778</v>
      </c>
      <c r="B79" s="12">
        <v>45134</v>
      </c>
      <c r="C79" s="11" t="s">
        <v>31</v>
      </c>
      <c r="D79" s="11" t="s">
        <v>661</v>
      </c>
      <c r="E79" s="11" t="s">
        <v>379</v>
      </c>
      <c r="F79" s="13" t="s">
        <v>704</v>
      </c>
      <c r="G79" s="33" t="s">
        <v>680</v>
      </c>
      <c r="H79" s="11" t="s">
        <v>26</v>
      </c>
      <c r="I79" s="32">
        <v>298.45999999999998</v>
      </c>
      <c r="J79" s="32">
        <v>314.17</v>
      </c>
      <c r="K79" s="22">
        <v>-0.05</v>
      </c>
      <c r="L79" s="13" t="s">
        <v>732</v>
      </c>
      <c r="M79" s="13" t="s">
        <v>682</v>
      </c>
      <c r="N79" s="10" t="s">
        <v>666</v>
      </c>
      <c r="O79" s="12">
        <v>45140</v>
      </c>
      <c r="P79" s="34">
        <v>6</v>
      </c>
      <c r="Q79" s="11" t="s">
        <v>55</v>
      </c>
    </row>
    <row r="80" spans="1:17" x14ac:dyDescent="0.35">
      <c r="A80" s="2" t="s">
        <v>779</v>
      </c>
      <c r="B80" s="3">
        <v>45114</v>
      </c>
      <c r="C80" s="2" t="s">
        <v>51</v>
      </c>
      <c r="D80" s="2" t="s">
        <v>494</v>
      </c>
      <c r="E80" s="2" t="s">
        <v>194</v>
      </c>
      <c r="F80" s="4" t="s">
        <v>695</v>
      </c>
      <c r="G80" s="10" t="s">
        <v>663</v>
      </c>
      <c r="H80" s="2" t="s">
        <v>44</v>
      </c>
      <c r="I80" s="30">
        <v>220.46</v>
      </c>
      <c r="J80" s="30">
        <v>275.58</v>
      </c>
      <c r="K80" s="27">
        <v>-0.2</v>
      </c>
      <c r="L80" s="4" t="s">
        <v>686</v>
      </c>
      <c r="M80" s="4" t="s">
        <v>677</v>
      </c>
      <c r="N80" s="10" t="s">
        <v>666</v>
      </c>
      <c r="O80" s="3">
        <v>45130</v>
      </c>
      <c r="P80" s="31">
        <v>16</v>
      </c>
      <c r="Q80" s="2" t="s">
        <v>26</v>
      </c>
    </row>
    <row r="81" spans="1:17" x14ac:dyDescent="0.35">
      <c r="A81" s="11" t="s">
        <v>780</v>
      </c>
      <c r="B81" s="12">
        <v>45059</v>
      </c>
      <c r="C81" s="11" t="s">
        <v>31</v>
      </c>
      <c r="D81" s="11" t="s">
        <v>713</v>
      </c>
      <c r="E81" s="11" t="s">
        <v>317</v>
      </c>
      <c r="F81" s="13" t="s">
        <v>662</v>
      </c>
      <c r="G81" s="10" t="s">
        <v>663</v>
      </c>
      <c r="H81" s="11" t="s">
        <v>55</v>
      </c>
      <c r="I81" s="32">
        <v>125.36</v>
      </c>
      <c r="J81" s="32">
        <v>109.01</v>
      </c>
      <c r="K81" s="27">
        <v>0.15</v>
      </c>
      <c r="L81" s="13" t="s">
        <v>692</v>
      </c>
      <c r="M81" s="13" t="s">
        <v>665</v>
      </c>
      <c r="N81" s="37" t="s">
        <v>711</v>
      </c>
      <c r="O81" s="12"/>
      <c r="P81" s="34"/>
      <c r="Q81" s="11"/>
    </row>
    <row r="82" spans="1:17" x14ac:dyDescent="0.35">
      <c r="A82" s="2" t="s">
        <v>781</v>
      </c>
      <c r="B82" s="3">
        <v>45195</v>
      </c>
      <c r="C82" s="2" t="s">
        <v>31</v>
      </c>
      <c r="D82" s="2" t="s">
        <v>713</v>
      </c>
      <c r="E82" s="2" t="s">
        <v>445</v>
      </c>
      <c r="F82" s="4" t="s">
        <v>706</v>
      </c>
      <c r="G82" s="33" t="s">
        <v>680</v>
      </c>
      <c r="H82" s="2" t="s">
        <v>59</v>
      </c>
      <c r="I82" s="30">
        <v>223.76</v>
      </c>
      <c r="J82" s="30">
        <v>186.47</v>
      </c>
      <c r="K82" s="22">
        <v>0.2</v>
      </c>
      <c r="L82" s="4" t="s">
        <v>681</v>
      </c>
      <c r="M82" s="4" t="s">
        <v>689</v>
      </c>
      <c r="N82" s="10" t="s">
        <v>666</v>
      </c>
      <c r="O82" s="3">
        <v>45209</v>
      </c>
      <c r="P82" s="31">
        <v>14</v>
      </c>
      <c r="Q82" s="2" t="s">
        <v>44</v>
      </c>
    </row>
    <row r="83" spans="1:17" x14ac:dyDescent="0.35">
      <c r="A83" s="11" t="s">
        <v>782</v>
      </c>
      <c r="B83" s="12">
        <v>44988</v>
      </c>
      <c r="C83" s="11" t="s">
        <v>51</v>
      </c>
      <c r="D83" s="11" t="s">
        <v>715</v>
      </c>
      <c r="E83" s="11" t="s">
        <v>303</v>
      </c>
      <c r="F83" s="13" t="s">
        <v>695</v>
      </c>
      <c r="G83" s="10" t="s">
        <v>663</v>
      </c>
      <c r="H83" s="11" t="s">
        <v>26</v>
      </c>
      <c r="I83" s="32">
        <v>297.16000000000003</v>
      </c>
      <c r="J83" s="32">
        <v>330.18</v>
      </c>
      <c r="K83" s="27">
        <v>-0.1</v>
      </c>
      <c r="L83" s="13" t="s">
        <v>676</v>
      </c>
      <c r="M83" s="13" t="s">
        <v>682</v>
      </c>
      <c r="N83" s="33" t="s">
        <v>672</v>
      </c>
      <c r="O83" s="12"/>
      <c r="P83" s="34"/>
      <c r="Q83" s="11"/>
    </row>
    <row r="84" spans="1:17" x14ac:dyDescent="0.35">
      <c r="A84" s="2" t="s">
        <v>783</v>
      </c>
      <c r="B84" s="3">
        <v>45247</v>
      </c>
      <c r="C84" s="2" t="s">
        <v>42</v>
      </c>
      <c r="D84" s="2" t="s">
        <v>719</v>
      </c>
      <c r="E84" s="2" t="s">
        <v>335</v>
      </c>
      <c r="F84" s="4" t="s">
        <v>679</v>
      </c>
      <c r="G84" s="10" t="s">
        <v>663</v>
      </c>
      <c r="H84" s="2" t="s">
        <v>44</v>
      </c>
      <c r="I84" s="30">
        <v>71.09</v>
      </c>
      <c r="J84" s="30">
        <v>69.02</v>
      </c>
      <c r="K84" s="27">
        <v>0.03</v>
      </c>
      <c r="L84" s="4" t="s">
        <v>686</v>
      </c>
      <c r="M84" s="4" t="s">
        <v>693</v>
      </c>
      <c r="N84" s="10" t="s">
        <v>666</v>
      </c>
      <c r="O84" s="3">
        <v>45251</v>
      </c>
      <c r="P84" s="31">
        <v>4</v>
      </c>
      <c r="Q84" s="2" t="s">
        <v>59</v>
      </c>
    </row>
    <row r="85" spans="1:17" x14ac:dyDescent="0.35">
      <c r="A85" s="11" t="s">
        <v>784</v>
      </c>
      <c r="B85" s="12">
        <v>44990</v>
      </c>
      <c r="C85" s="11" t="s">
        <v>31</v>
      </c>
      <c r="D85" s="11" t="s">
        <v>471</v>
      </c>
      <c r="E85" s="11" t="s">
        <v>172</v>
      </c>
      <c r="F85" s="13" t="s">
        <v>685</v>
      </c>
      <c r="G85" s="33" t="s">
        <v>680</v>
      </c>
      <c r="H85" s="11" t="s">
        <v>59</v>
      </c>
      <c r="I85" s="32">
        <v>71.48</v>
      </c>
      <c r="J85" s="32">
        <v>84.1</v>
      </c>
      <c r="K85" s="22">
        <v>-0.15010000000000001</v>
      </c>
      <c r="L85" s="13" t="s">
        <v>721</v>
      </c>
      <c r="M85" s="13" t="s">
        <v>689</v>
      </c>
      <c r="N85" s="33" t="s">
        <v>672</v>
      </c>
      <c r="O85" s="12"/>
      <c r="P85" s="34"/>
      <c r="Q85" s="11"/>
    </row>
    <row r="86" spans="1:17" x14ac:dyDescent="0.35">
      <c r="A86" s="2" t="s">
        <v>785</v>
      </c>
      <c r="B86" s="3">
        <v>44964</v>
      </c>
      <c r="C86" s="2" t="s">
        <v>97</v>
      </c>
      <c r="D86" s="2" t="s">
        <v>477</v>
      </c>
      <c r="E86" s="2" t="s">
        <v>309</v>
      </c>
      <c r="F86" s="4" t="s">
        <v>695</v>
      </c>
      <c r="G86" s="33" t="s">
        <v>680</v>
      </c>
      <c r="H86" s="2" t="s">
        <v>26</v>
      </c>
      <c r="I86" s="30">
        <v>113.3</v>
      </c>
      <c r="J86" s="30">
        <v>123.15</v>
      </c>
      <c r="K86" s="22">
        <v>-0.08</v>
      </c>
      <c r="L86" s="4" t="s">
        <v>732</v>
      </c>
      <c r="M86" s="4" t="s">
        <v>671</v>
      </c>
      <c r="N86" s="10" t="s">
        <v>666</v>
      </c>
      <c r="O86" s="3">
        <v>44976</v>
      </c>
      <c r="P86" s="31">
        <v>12</v>
      </c>
      <c r="Q86" s="2" t="s">
        <v>33</v>
      </c>
    </row>
    <row r="87" spans="1:17" x14ac:dyDescent="0.35">
      <c r="A87" s="11" t="s">
        <v>786</v>
      </c>
      <c r="B87" s="12">
        <v>45058</v>
      </c>
      <c r="C87" s="11" t="s">
        <v>97</v>
      </c>
      <c r="D87" s="11" t="s">
        <v>684</v>
      </c>
      <c r="E87" s="11" t="s">
        <v>405</v>
      </c>
      <c r="F87" s="13" t="s">
        <v>706</v>
      </c>
      <c r="G87" s="10" t="s">
        <v>663</v>
      </c>
      <c r="H87" s="11" t="s">
        <v>59</v>
      </c>
      <c r="I87" s="32">
        <v>274.20999999999998</v>
      </c>
      <c r="J87" s="32">
        <v>266.22000000000003</v>
      </c>
      <c r="K87" s="27">
        <v>0.03</v>
      </c>
      <c r="L87" s="13" t="s">
        <v>681</v>
      </c>
      <c r="M87" s="13" t="s">
        <v>677</v>
      </c>
      <c r="N87" s="33" t="s">
        <v>672</v>
      </c>
      <c r="O87" s="12"/>
      <c r="P87" s="34"/>
      <c r="Q87" s="11"/>
    </row>
    <row r="88" spans="1:17" x14ac:dyDescent="0.35">
      <c r="A88" s="2" t="s">
        <v>787</v>
      </c>
      <c r="B88" s="3">
        <v>44940</v>
      </c>
      <c r="C88" s="2" t="s">
        <v>97</v>
      </c>
      <c r="D88" s="2" t="s">
        <v>471</v>
      </c>
      <c r="E88" s="2" t="s">
        <v>230</v>
      </c>
      <c r="F88" s="4" t="s">
        <v>704</v>
      </c>
      <c r="G88" s="10" t="s">
        <v>663</v>
      </c>
      <c r="H88" s="2" t="s">
        <v>59</v>
      </c>
      <c r="I88" s="30">
        <v>347.75</v>
      </c>
      <c r="J88" s="30">
        <v>331.19</v>
      </c>
      <c r="K88" s="27">
        <v>0.05</v>
      </c>
      <c r="L88" s="4" t="s">
        <v>732</v>
      </c>
      <c r="M88" s="4" t="s">
        <v>682</v>
      </c>
      <c r="N88" s="10" t="s">
        <v>666</v>
      </c>
      <c r="O88" s="3">
        <v>44946</v>
      </c>
      <c r="P88" s="31">
        <v>6</v>
      </c>
      <c r="Q88" s="2" t="s">
        <v>55</v>
      </c>
    </row>
    <row r="89" spans="1:17" x14ac:dyDescent="0.35">
      <c r="A89" s="11" t="s">
        <v>788</v>
      </c>
      <c r="B89" s="12">
        <v>44985</v>
      </c>
      <c r="C89" s="11" t="s">
        <v>23</v>
      </c>
      <c r="D89" s="11" t="s">
        <v>490</v>
      </c>
      <c r="E89" s="11" t="s">
        <v>230</v>
      </c>
      <c r="F89" s="13" t="s">
        <v>708</v>
      </c>
      <c r="G89" s="33" t="s">
        <v>680</v>
      </c>
      <c r="H89" s="11" t="s">
        <v>55</v>
      </c>
      <c r="I89" s="32">
        <v>57.06</v>
      </c>
      <c r="J89" s="32">
        <v>54.34</v>
      </c>
      <c r="K89" s="22">
        <v>5.0099999999999999E-2</v>
      </c>
      <c r="L89" s="13" t="s">
        <v>686</v>
      </c>
      <c r="M89" s="13" t="s">
        <v>698</v>
      </c>
      <c r="N89" s="10" t="s">
        <v>666</v>
      </c>
      <c r="O89" s="12">
        <v>44986</v>
      </c>
      <c r="P89" s="34">
        <v>1</v>
      </c>
      <c r="Q89" s="11" t="s">
        <v>44</v>
      </c>
    </row>
    <row r="90" spans="1:17" x14ac:dyDescent="0.35">
      <c r="A90" s="2" t="s">
        <v>789</v>
      </c>
      <c r="B90" s="3">
        <v>45206</v>
      </c>
      <c r="C90" s="2" t="s">
        <v>97</v>
      </c>
      <c r="D90" s="2" t="s">
        <v>661</v>
      </c>
      <c r="E90" s="2" t="s">
        <v>335</v>
      </c>
      <c r="F90" s="4" t="s">
        <v>695</v>
      </c>
      <c r="G90" s="20" t="s">
        <v>669</v>
      </c>
      <c r="H90" s="2" t="s">
        <v>26</v>
      </c>
      <c r="I90" s="30">
        <v>116.8</v>
      </c>
      <c r="J90" s="30">
        <v>111.24</v>
      </c>
      <c r="K90" s="24">
        <v>0.05</v>
      </c>
      <c r="L90" s="4" t="s">
        <v>732</v>
      </c>
      <c r="M90" s="4" t="s">
        <v>671</v>
      </c>
      <c r="N90" s="10" t="s">
        <v>666</v>
      </c>
      <c r="O90" s="3">
        <v>45223</v>
      </c>
      <c r="P90" s="31">
        <v>17</v>
      </c>
      <c r="Q90" s="2" t="s">
        <v>44</v>
      </c>
    </row>
    <row r="91" spans="1:17" x14ac:dyDescent="0.35">
      <c r="A91" s="11" t="s">
        <v>790</v>
      </c>
      <c r="B91" s="12">
        <v>45236</v>
      </c>
      <c r="C91" s="11" t="s">
        <v>31</v>
      </c>
      <c r="D91" s="11" t="s">
        <v>715</v>
      </c>
      <c r="E91" s="11" t="s">
        <v>359</v>
      </c>
      <c r="F91" s="13" t="s">
        <v>708</v>
      </c>
      <c r="G91" s="35" t="s">
        <v>675</v>
      </c>
      <c r="H91" s="11" t="s">
        <v>26</v>
      </c>
      <c r="I91" s="32">
        <v>22.39</v>
      </c>
      <c r="J91" s="32">
        <v>23.08</v>
      </c>
      <c r="K91" s="36">
        <v>-2.9899999999999999E-2</v>
      </c>
      <c r="L91" s="13" t="s">
        <v>686</v>
      </c>
      <c r="M91" s="13" t="s">
        <v>698</v>
      </c>
      <c r="N91" s="10" t="s">
        <v>666</v>
      </c>
      <c r="O91" s="12">
        <v>45250</v>
      </c>
      <c r="P91" s="34">
        <v>14</v>
      </c>
      <c r="Q91" s="11" t="s">
        <v>55</v>
      </c>
    </row>
  </sheetData>
  <autoFilter ref="A1:Q91" xr:uid="{00000000-0009-0000-0000-000002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7AE60"/>
  </sheetPr>
  <dimension ref="A1:R131"/>
  <sheetViews>
    <sheetView tabSelected="1" topLeftCell="E1" workbookViewId="0">
      <pane ySplit="1" topLeftCell="A110" activePane="bottomLeft" state="frozen"/>
      <selection pane="bottomLeft"/>
    </sheetView>
  </sheetViews>
  <sheetFormatPr defaultRowHeight="14.5" x14ac:dyDescent="0.35"/>
  <cols>
    <col min="1" max="1" width="16" customWidth="1"/>
    <col min="2" max="2" width="14" customWidth="1"/>
    <col min="3" max="3" width="16" customWidth="1"/>
    <col min="4" max="5" width="10" customWidth="1"/>
    <col min="6" max="6" width="22" customWidth="1"/>
    <col min="7" max="7" width="14" customWidth="1"/>
    <col min="8" max="8" width="8" customWidth="1"/>
    <col min="9" max="12" width="14" customWidth="1"/>
    <col min="13" max="13" width="13" customWidth="1"/>
    <col min="14" max="15" width="16" customWidth="1"/>
    <col min="16" max="16" width="24" customWidth="1"/>
    <col min="17" max="17" width="16" customWidth="1"/>
    <col min="18" max="18" width="36" customWidth="1"/>
  </cols>
  <sheetData>
    <row r="1" spans="1:18" ht="28" customHeight="1" x14ac:dyDescent="0.35">
      <c r="A1" s="1" t="s">
        <v>791</v>
      </c>
      <c r="B1" s="1" t="s">
        <v>792</v>
      </c>
      <c r="C1" s="1" t="s">
        <v>459</v>
      </c>
      <c r="D1" s="1" t="s">
        <v>2</v>
      </c>
      <c r="E1" s="1" t="s">
        <v>793</v>
      </c>
      <c r="F1" s="1" t="s">
        <v>794</v>
      </c>
      <c r="G1" s="1" t="s">
        <v>795</v>
      </c>
      <c r="H1" s="1" t="s">
        <v>796</v>
      </c>
      <c r="I1" s="1" t="s">
        <v>797</v>
      </c>
      <c r="J1" s="1" t="s">
        <v>798</v>
      </c>
      <c r="K1" s="1" t="s">
        <v>799</v>
      </c>
      <c r="L1" s="1" t="s">
        <v>800</v>
      </c>
      <c r="M1" s="1" t="s">
        <v>12</v>
      </c>
      <c r="N1" s="1" t="s">
        <v>801</v>
      </c>
      <c r="O1" s="1" t="s">
        <v>802</v>
      </c>
      <c r="P1" s="1" t="s">
        <v>803</v>
      </c>
      <c r="Q1" s="1" t="s">
        <v>804</v>
      </c>
      <c r="R1" s="1" t="s">
        <v>21</v>
      </c>
    </row>
    <row r="2" spans="1:18" x14ac:dyDescent="0.35">
      <c r="A2" s="2" t="s">
        <v>805</v>
      </c>
      <c r="B2" s="3">
        <v>44961</v>
      </c>
      <c r="C2" s="2" t="s">
        <v>345</v>
      </c>
      <c r="D2" s="2" t="s">
        <v>97</v>
      </c>
      <c r="E2" s="2" t="s">
        <v>806</v>
      </c>
      <c r="F2" s="4" t="s">
        <v>807</v>
      </c>
      <c r="G2" s="2" t="s">
        <v>808</v>
      </c>
      <c r="H2" s="2" t="s">
        <v>809</v>
      </c>
      <c r="I2" s="5">
        <v>704.7</v>
      </c>
      <c r="J2" s="5">
        <v>704.7</v>
      </c>
      <c r="K2" s="5">
        <v>704.7</v>
      </c>
      <c r="L2" s="6">
        <v>0</v>
      </c>
      <c r="M2" s="7">
        <v>0</v>
      </c>
      <c r="N2" s="38">
        <v>2E-3</v>
      </c>
      <c r="O2" s="39">
        <v>1.41</v>
      </c>
      <c r="P2" s="4" t="s">
        <v>810</v>
      </c>
      <c r="Q2" s="2" t="s">
        <v>811</v>
      </c>
      <c r="R2" s="4"/>
    </row>
    <row r="3" spans="1:18" x14ac:dyDescent="0.35">
      <c r="A3" s="11" t="s">
        <v>812</v>
      </c>
      <c r="B3" s="12">
        <v>45089</v>
      </c>
      <c r="C3" s="11" t="s">
        <v>259</v>
      </c>
      <c r="D3" s="11" t="s">
        <v>23</v>
      </c>
      <c r="E3" s="11" t="s">
        <v>813</v>
      </c>
      <c r="F3" s="13" t="s">
        <v>814</v>
      </c>
      <c r="G3" s="11" t="s">
        <v>815</v>
      </c>
      <c r="H3" s="11" t="s">
        <v>816</v>
      </c>
      <c r="I3" s="14">
        <v>1442</v>
      </c>
      <c r="J3" s="14">
        <v>1442</v>
      </c>
      <c r="K3" s="14">
        <v>1451.2</v>
      </c>
      <c r="L3" s="15">
        <v>9.1999999999999993</v>
      </c>
      <c r="M3" s="16">
        <v>6.4000000000000003E-3</v>
      </c>
      <c r="N3" s="40">
        <v>0.32</v>
      </c>
      <c r="O3" s="41">
        <v>464.38</v>
      </c>
      <c r="P3" s="13" t="s">
        <v>817</v>
      </c>
      <c r="Q3" s="11" t="s">
        <v>818</v>
      </c>
      <c r="R3" s="13"/>
    </row>
    <row r="4" spans="1:18" x14ac:dyDescent="0.35">
      <c r="A4" s="2" t="s">
        <v>819</v>
      </c>
      <c r="B4" s="3">
        <v>44983</v>
      </c>
      <c r="C4" s="2" t="s">
        <v>359</v>
      </c>
      <c r="D4" s="2" t="s">
        <v>51</v>
      </c>
      <c r="E4" s="2" t="s">
        <v>813</v>
      </c>
      <c r="F4" s="4" t="s">
        <v>814</v>
      </c>
      <c r="G4" s="2" t="s">
        <v>815</v>
      </c>
      <c r="H4" s="2" t="s">
        <v>816</v>
      </c>
      <c r="I4" s="5">
        <v>1723.4</v>
      </c>
      <c r="J4" s="5">
        <v>1723.4</v>
      </c>
      <c r="K4" s="5">
        <v>1723.4</v>
      </c>
      <c r="L4" s="6">
        <v>0</v>
      </c>
      <c r="M4" s="7">
        <v>0</v>
      </c>
      <c r="N4" s="38">
        <v>0.32</v>
      </c>
      <c r="O4" s="39">
        <v>551.49</v>
      </c>
      <c r="P4" s="4" t="s">
        <v>820</v>
      </c>
      <c r="Q4" s="2" t="s">
        <v>821</v>
      </c>
      <c r="R4" s="4"/>
    </row>
    <row r="5" spans="1:18" x14ac:dyDescent="0.35">
      <c r="A5" s="11" t="s">
        <v>822</v>
      </c>
      <c r="B5" s="12">
        <v>44936</v>
      </c>
      <c r="C5" s="11" t="s">
        <v>283</v>
      </c>
      <c r="D5" s="11" t="s">
        <v>42</v>
      </c>
      <c r="E5" s="11" t="s">
        <v>823</v>
      </c>
      <c r="F5" s="13" t="s">
        <v>824</v>
      </c>
      <c r="G5" s="11" t="s">
        <v>808</v>
      </c>
      <c r="H5" s="11" t="s">
        <v>825</v>
      </c>
      <c r="I5" s="14">
        <v>599.5</v>
      </c>
      <c r="J5" s="14">
        <v>598.9</v>
      </c>
      <c r="K5" s="14">
        <v>598.9</v>
      </c>
      <c r="L5" s="15">
        <v>-0.6</v>
      </c>
      <c r="M5" s="16">
        <v>-1E-3</v>
      </c>
      <c r="N5" s="40">
        <v>6.2</v>
      </c>
      <c r="O5" s="41">
        <v>3713.18</v>
      </c>
      <c r="P5" s="13" t="s">
        <v>826</v>
      </c>
      <c r="Q5" s="11" t="s">
        <v>827</v>
      </c>
      <c r="R5" s="13"/>
    </row>
    <row r="6" spans="1:18" x14ac:dyDescent="0.35">
      <c r="A6" s="2" t="s">
        <v>828</v>
      </c>
      <c r="B6" s="3">
        <v>45229</v>
      </c>
      <c r="C6" s="2" t="s">
        <v>313</v>
      </c>
      <c r="D6" s="2" t="s">
        <v>23</v>
      </c>
      <c r="E6" s="2" t="s">
        <v>813</v>
      </c>
      <c r="F6" s="4" t="s">
        <v>814</v>
      </c>
      <c r="G6" s="2" t="s">
        <v>815</v>
      </c>
      <c r="H6" s="2" t="s">
        <v>816</v>
      </c>
      <c r="I6" s="5">
        <v>1597.9</v>
      </c>
      <c r="J6" s="5">
        <v>1597.9</v>
      </c>
      <c r="K6" s="5">
        <v>1597.9</v>
      </c>
      <c r="L6" s="6">
        <v>0</v>
      </c>
      <c r="M6" s="7">
        <v>0</v>
      </c>
      <c r="N6" s="38">
        <v>0.32</v>
      </c>
      <c r="O6" s="39">
        <v>511.33</v>
      </c>
      <c r="P6" s="4" t="s">
        <v>829</v>
      </c>
      <c r="Q6" s="2" t="s">
        <v>830</v>
      </c>
      <c r="R6" s="4"/>
    </row>
    <row r="7" spans="1:18" x14ac:dyDescent="0.35">
      <c r="A7" s="11" t="s">
        <v>831</v>
      </c>
      <c r="B7" s="12">
        <v>45235</v>
      </c>
      <c r="C7" s="11" t="s">
        <v>36</v>
      </c>
      <c r="D7" s="11" t="s">
        <v>51</v>
      </c>
      <c r="E7" s="11" t="s">
        <v>832</v>
      </c>
      <c r="F7" s="13" t="s">
        <v>833</v>
      </c>
      <c r="G7" s="11" t="s">
        <v>808</v>
      </c>
      <c r="H7" s="11" t="s">
        <v>834</v>
      </c>
      <c r="I7" s="14">
        <v>1036.9000000000001</v>
      </c>
      <c r="J7" s="14">
        <v>1036.9000000000001</v>
      </c>
      <c r="K7" s="14">
        <v>1036.9000000000001</v>
      </c>
      <c r="L7" s="15">
        <v>0</v>
      </c>
      <c r="M7" s="16">
        <v>0</v>
      </c>
      <c r="N7" s="40">
        <v>0.12</v>
      </c>
      <c r="O7" s="41">
        <v>124.43</v>
      </c>
      <c r="P7" s="13" t="s">
        <v>817</v>
      </c>
      <c r="Q7" s="11" t="s">
        <v>835</v>
      </c>
      <c r="R7" s="13"/>
    </row>
    <row r="8" spans="1:18" x14ac:dyDescent="0.35">
      <c r="A8" s="2" t="s">
        <v>836</v>
      </c>
      <c r="B8" s="3">
        <v>45164</v>
      </c>
      <c r="C8" s="2" t="s">
        <v>397</v>
      </c>
      <c r="D8" s="2" t="s">
        <v>31</v>
      </c>
      <c r="E8" s="2" t="s">
        <v>806</v>
      </c>
      <c r="F8" s="4" t="s">
        <v>807</v>
      </c>
      <c r="G8" s="2" t="s">
        <v>808</v>
      </c>
      <c r="H8" s="2" t="s">
        <v>809</v>
      </c>
      <c r="I8" s="5">
        <v>603.79999999999995</v>
      </c>
      <c r="J8" s="5">
        <v>603.79999999999995</v>
      </c>
      <c r="K8" s="5">
        <v>603.79999999999995</v>
      </c>
      <c r="L8" s="6">
        <v>0</v>
      </c>
      <c r="M8" s="7">
        <v>0</v>
      </c>
      <c r="N8" s="38">
        <v>2E-3</v>
      </c>
      <c r="O8" s="39">
        <v>1.21</v>
      </c>
      <c r="P8" s="4" t="s">
        <v>837</v>
      </c>
      <c r="Q8" s="2" t="s">
        <v>838</v>
      </c>
      <c r="R8" s="4"/>
    </row>
    <row r="9" spans="1:18" x14ac:dyDescent="0.35">
      <c r="A9" s="11" t="s">
        <v>839</v>
      </c>
      <c r="B9" s="12">
        <v>45204</v>
      </c>
      <c r="C9" s="11" t="s">
        <v>204</v>
      </c>
      <c r="D9" s="11" t="s">
        <v>23</v>
      </c>
      <c r="E9" s="11" t="s">
        <v>840</v>
      </c>
      <c r="F9" s="13" t="s">
        <v>841</v>
      </c>
      <c r="G9" s="11" t="s">
        <v>842</v>
      </c>
      <c r="H9" s="11" t="s">
        <v>816</v>
      </c>
      <c r="I9" s="14">
        <v>838.6</v>
      </c>
      <c r="J9" s="14">
        <v>838.6</v>
      </c>
      <c r="K9" s="14">
        <v>838.6</v>
      </c>
      <c r="L9" s="15">
        <v>0</v>
      </c>
      <c r="M9" s="16">
        <v>0</v>
      </c>
      <c r="N9" s="40">
        <v>42</v>
      </c>
      <c r="O9" s="41">
        <v>35221.199999999997</v>
      </c>
      <c r="P9" s="13" t="s">
        <v>829</v>
      </c>
      <c r="Q9" s="11" t="s">
        <v>843</v>
      </c>
      <c r="R9" s="13"/>
    </row>
    <row r="10" spans="1:18" x14ac:dyDescent="0.35">
      <c r="A10" s="2" t="s">
        <v>844</v>
      </c>
      <c r="B10" s="3">
        <v>44972</v>
      </c>
      <c r="C10" s="2" t="s">
        <v>353</v>
      </c>
      <c r="D10" s="2" t="s">
        <v>51</v>
      </c>
      <c r="E10" s="2" t="s">
        <v>845</v>
      </c>
      <c r="F10" s="4" t="s">
        <v>846</v>
      </c>
      <c r="G10" s="2" t="s">
        <v>815</v>
      </c>
      <c r="H10" s="2" t="s">
        <v>816</v>
      </c>
      <c r="I10" s="5">
        <v>250.9</v>
      </c>
      <c r="J10" s="5">
        <v>250.9</v>
      </c>
      <c r="K10" s="5">
        <v>250.9</v>
      </c>
      <c r="L10" s="6">
        <v>0</v>
      </c>
      <c r="M10" s="7">
        <v>0</v>
      </c>
      <c r="N10" s="38">
        <v>0.65</v>
      </c>
      <c r="O10" s="39">
        <v>163.09</v>
      </c>
      <c r="P10" s="4" t="s">
        <v>837</v>
      </c>
      <c r="Q10" s="2" t="s">
        <v>847</v>
      </c>
      <c r="R10" s="4"/>
    </row>
    <row r="11" spans="1:18" x14ac:dyDescent="0.35">
      <c r="A11" s="11" t="s">
        <v>848</v>
      </c>
      <c r="B11" s="12">
        <v>45128</v>
      </c>
      <c r="C11" s="11" t="s">
        <v>174</v>
      </c>
      <c r="D11" s="11" t="s">
        <v>23</v>
      </c>
      <c r="E11" s="11" t="s">
        <v>845</v>
      </c>
      <c r="F11" s="13" t="s">
        <v>846</v>
      </c>
      <c r="G11" s="11" t="s">
        <v>815</v>
      </c>
      <c r="H11" s="11" t="s">
        <v>816</v>
      </c>
      <c r="I11" s="14">
        <v>1525.9</v>
      </c>
      <c r="J11" s="14">
        <v>1525.9</v>
      </c>
      <c r="K11" s="14">
        <v>1525.9</v>
      </c>
      <c r="L11" s="15">
        <v>0</v>
      </c>
      <c r="M11" s="16">
        <v>0</v>
      </c>
      <c r="N11" s="40">
        <v>0.65</v>
      </c>
      <c r="O11" s="41">
        <v>991.84</v>
      </c>
      <c r="P11" s="13" t="s">
        <v>817</v>
      </c>
      <c r="Q11" s="11" t="s">
        <v>849</v>
      </c>
      <c r="R11" s="13"/>
    </row>
    <row r="12" spans="1:18" x14ac:dyDescent="0.35">
      <c r="A12" s="2" t="s">
        <v>850</v>
      </c>
      <c r="B12" s="3">
        <v>45140</v>
      </c>
      <c r="C12" s="2" t="s">
        <v>152</v>
      </c>
      <c r="D12" s="2" t="s">
        <v>51</v>
      </c>
      <c r="E12" s="2" t="s">
        <v>851</v>
      </c>
      <c r="F12" s="4" t="s">
        <v>852</v>
      </c>
      <c r="G12" s="2" t="s">
        <v>853</v>
      </c>
      <c r="H12" s="2" t="s">
        <v>816</v>
      </c>
      <c r="I12" s="5">
        <v>330.5</v>
      </c>
      <c r="J12" s="5">
        <v>330.5</v>
      </c>
      <c r="K12" s="5">
        <v>330.5</v>
      </c>
      <c r="L12" s="6">
        <v>0</v>
      </c>
      <c r="M12" s="7">
        <v>0</v>
      </c>
      <c r="N12" s="38">
        <v>18.5</v>
      </c>
      <c r="O12" s="39">
        <v>6114.25</v>
      </c>
      <c r="P12" s="4" t="s">
        <v>826</v>
      </c>
      <c r="Q12" s="2" t="s">
        <v>854</v>
      </c>
      <c r="R12" s="4"/>
    </row>
    <row r="13" spans="1:18" x14ac:dyDescent="0.35">
      <c r="A13" s="11" t="s">
        <v>855</v>
      </c>
      <c r="B13" s="12">
        <v>45090</v>
      </c>
      <c r="C13" s="11" t="s">
        <v>449</v>
      </c>
      <c r="D13" s="11" t="s">
        <v>31</v>
      </c>
      <c r="E13" s="11" t="s">
        <v>851</v>
      </c>
      <c r="F13" s="13" t="s">
        <v>852</v>
      </c>
      <c r="G13" s="11" t="s">
        <v>853</v>
      </c>
      <c r="H13" s="11" t="s">
        <v>816</v>
      </c>
      <c r="I13" s="14">
        <v>1927.2</v>
      </c>
      <c r="J13" s="14">
        <v>1945.9</v>
      </c>
      <c r="K13" s="14">
        <v>1870.5</v>
      </c>
      <c r="L13" s="21">
        <v>-56.7</v>
      </c>
      <c r="M13" s="22">
        <v>-2.9399999999999999E-2</v>
      </c>
      <c r="N13" s="40">
        <v>18.5</v>
      </c>
      <c r="O13" s="41">
        <v>34604.25</v>
      </c>
      <c r="P13" s="13" t="s">
        <v>817</v>
      </c>
      <c r="Q13" s="11" t="s">
        <v>856</v>
      </c>
      <c r="R13" s="13"/>
    </row>
    <row r="14" spans="1:18" x14ac:dyDescent="0.35">
      <c r="A14" s="2" t="s">
        <v>857</v>
      </c>
      <c r="B14" s="3">
        <v>45138</v>
      </c>
      <c r="C14" s="2" t="s">
        <v>150</v>
      </c>
      <c r="D14" s="2" t="s">
        <v>51</v>
      </c>
      <c r="E14" s="2" t="s">
        <v>832</v>
      </c>
      <c r="F14" s="4" t="s">
        <v>833</v>
      </c>
      <c r="G14" s="2" t="s">
        <v>808</v>
      </c>
      <c r="H14" s="2" t="s">
        <v>834</v>
      </c>
      <c r="I14" s="5">
        <v>934.3</v>
      </c>
      <c r="J14" s="5">
        <v>934.3</v>
      </c>
      <c r="K14" s="5">
        <v>971.2</v>
      </c>
      <c r="L14" s="21">
        <v>36.9</v>
      </c>
      <c r="M14" s="22">
        <v>3.95E-2</v>
      </c>
      <c r="N14" s="38">
        <v>0.12</v>
      </c>
      <c r="O14" s="39">
        <v>116.54</v>
      </c>
      <c r="P14" s="4" t="s">
        <v>837</v>
      </c>
      <c r="Q14" s="2" t="s">
        <v>858</v>
      </c>
      <c r="R14" s="4"/>
    </row>
    <row r="15" spans="1:18" x14ac:dyDescent="0.35">
      <c r="A15" s="11" t="s">
        <v>859</v>
      </c>
      <c r="B15" s="12">
        <v>45074</v>
      </c>
      <c r="C15" s="11" t="s">
        <v>317</v>
      </c>
      <c r="D15" s="11" t="s">
        <v>42</v>
      </c>
      <c r="E15" s="11" t="s">
        <v>845</v>
      </c>
      <c r="F15" s="13" t="s">
        <v>846</v>
      </c>
      <c r="G15" s="11" t="s">
        <v>815</v>
      </c>
      <c r="H15" s="11" t="s">
        <v>816</v>
      </c>
      <c r="I15" s="14">
        <v>496.9</v>
      </c>
      <c r="J15" s="14">
        <v>496.9</v>
      </c>
      <c r="K15" s="14">
        <v>496.9</v>
      </c>
      <c r="L15" s="15">
        <v>0</v>
      </c>
      <c r="M15" s="16">
        <v>0</v>
      </c>
      <c r="N15" s="40">
        <v>0.65</v>
      </c>
      <c r="O15" s="41">
        <v>322.99</v>
      </c>
      <c r="P15" s="13" t="s">
        <v>817</v>
      </c>
      <c r="Q15" s="11" t="s">
        <v>860</v>
      </c>
      <c r="R15" s="13"/>
    </row>
    <row r="16" spans="1:18" x14ac:dyDescent="0.35">
      <c r="A16" s="2" t="s">
        <v>861</v>
      </c>
      <c r="B16" s="3">
        <v>44950</v>
      </c>
      <c r="C16" s="2" t="s">
        <v>206</v>
      </c>
      <c r="D16" s="2" t="s">
        <v>51</v>
      </c>
      <c r="E16" s="2" t="s">
        <v>806</v>
      </c>
      <c r="F16" s="4" t="s">
        <v>807</v>
      </c>
      <c r="G16" s="2" t="s">
        <v>808</v>
      </c>
      <c r="H16" s="2" t="s">
        <v>809</v>
      </c>
      <c r="I16" s="5">
        <v>720.9</v>
      </c>
      <c r="J16" s="5">
        <v>720.9</v>
      </c>
      <c r="K16" s="5">
        <v>720.9</v>
      </c>
      <c r="L16" s="6">
        <v>0</v>
      </c>
      <c r="M16" s="7">
        <v>0</v>
      </c>
      <c r="N16" s="38">
        <v>2E-3</v>
      </c>
      <c r="O16" s="39">
        <v>1.44</v>
      </c>
      <c r="P16" s="4" t="s">
        <v>810</v>
      </c>
      <c r="Q16" s="2" t="s">
        <v>862</v>
      </c>
      <c r="R16" s="4"/>
    </row>
    <row r="17" spans="1:18" x14ac:dyDescent="0.35">
      <c r="A17" s="11" t="s">
        <v>863</v>
      </c>
      <c r="B17" s="12">
        <v>45183</v>
      </c>
      <c r="C17" s="11" t="s">
        <v>369</v>
      </c>
      <c r="D17" s="11" t="s">
        <v>23</v>
      </c>
      <c r="E17" s="11" t="s">
        <v>823</v>
      </c>
      <c r="F17" s="13" t="s">
        <v>824</v>
      </c>
      <c r="G17" s="11" t="s">
        <v>808</v>
      </c>
      <c r="H17" s="11" t="s">
        <v>825</v>
      </c>
      <c r="I17" s="14">
        <v>213.4</v>
      </c>
      <c r="J17" s="14">
        <v>213.4</v>
      </c>
      <c r="K17" s="14">
        <v>213.4</v>
      </c>
      <c r="L17" s="15">
        <v>0</v>
      </c>
      <c r="M17" s="16">
        <v>0</v>
      </c>
      <c r="N17" s="40">
        <v>6.2</v>
      </c>
      <c r="O17" s="41">
        <v>1323.08</v>
      </c>
      <c r="P17" s="13" t="s">
        <v>820</v>
      </c>
      <c r="Q17" s="11" t="s">
        <v>864</v>
      </c>
      <c r="R17" s="13"/>
    </row>
    <row r="18" spans="1:18" x14ac:dyDescent="0.35">
      <c r="A18" s="2" t="s">
        <v>865</v>
      </c>
      <c r="B18" s="3">
        <v>45044</v>
      </c>
      <c r="C18" s="2" t="s">
        <v>435</v>
      </c>
      <c r="D18" s="2" t="s">
        <v>51</v>
      </c>
      <c r="E18" s="2" t="s">
        <v>823</v>
      </c>
      <c r="F18" s="4" t="s">
        <v>824</v>
      </c>
      <c r="G18" s="2" t="s">
        <v>808</v>
      </c>
      <c r="H18" s="2" t="s">
        <v>825</v>
      </c>
      <c r="I18" s="5">
        <v>1165.5</v>
      </c>
      <c r="J18" s="5">
        <v>1165.5</v>
      </c>
      <c r="K18" s="5">
        <v>1165.5</v>
      </c>
      <c r="L18" s="6">
        <v>0</v>
      </c>
      <c r="M18" s="7">
        <v>0</v>
      </c>
      <c r="N18" s="38">
        <v>6.2</v>
      </c>
      <c r="O18" s="39">
        <v>7226.1</v>
      </c>
      <c r="P18" s="4" t="s">
        <v>829</v>
      </c>
      <c r="Q18" s="2" t="s">
        <v>866</v>
      </c>
      <c r="R18" s="4"/>
    </row>
    <row r="19" spans="1:18" x14ac:dyDescent="0.35">
      <c r="A19" s="11" t="s">
        <v>867</v>
      </c>
      <c r="B19" s="12">
        <v>45210</v>
      </c>
      <c r="C19" s="11" t="s">
        <v>363</v>
      </c>
      <c r="D19" s="11" t="s">
        <v>23</v>
      </c>
      <c r="E19" s="11" t="s">
        <v>868</v>
      </c>
      <c r="F19" s="13" t="s">
        <v>869</v>
      </c>
      <c r="G19" s="11" t="s">
        <v>815</v>
      </c>
      <c r="H19" s="11" t="s">
        <v>816</v>
      </c>
      <c r="I19" s="14">
        <v>798.4</v>
      </c>
      <c r="J19" s="14">
        <v>798.4</v>
      </c>
      <c r="K19" s="14">
        <v>798.4</v>
      </c>
      <c r="L19" s="15">
        <v>0</v>
      </c>
      <c r="M19" s="16">
        <v>0</v>
      </c>
      <c r="N19" s="40">
        <v>0.48</v>
      </c>
      <c r="O19" s="41">
        <v>383.23</v>
      </c>
      <c r="P19" s="13" t="s">
        <v>826</v>
      </c>
      <c r="Q19" s="11" t="s">
        <v>870</v>
      </c>
      <c r="R19" s="13"/>
    </row>
    <row r="20" spans="1:18" x14ac:dyDescent="0.35">
      <c r="A20" s="2" t="s">
        <v>871</v>
      </c>
      <c r="B20" s="3">
        <v>45014</v>
      </c>
      <c r="C20" s="2" t="s">
        <v>449</v>
      </c>
      <c r="D20" s="2" t="s">
        <v>31</v>
      </c>
      <c r="E20" s="2" t="s">
        <v>840</v>
      </c>
      <c r="F20" s="4" t="s">
        <v>841</v>
      </c>
      <c r="G20" s="2" t="s">
        <v>842</v>
      </c>
      <c r="H20" s="2" t="s">
        <v>816</v>
      </c>
      <c r="I20" s="5">
        <v>1218.7</v>
      </c>
      <c r="J20" s="5">
        <v>1218.7</v>
      </c>
      <c r="K20" s="5">
        <v>1161.0999999999999</v>
      </c>
      <c r="L20" s="23">
        <v>-57.6</v>
      </c>
      <c r="M20" s="24">
        <v>-4.7300000000000002E-2</v>
      </c>
      <c r="N20" s="38">
        <v>42</v>
      </c>
      <c r="O20" s="39">
        <v>48766.2</v>
      </c>
      <c r="P20" s="4" t="s">
        <v>810</v>
      </c>
      <c r="Q20" s="2" t="s">
        <v>872</v>
      </c>
      <c r="R20" s="4" t="s">
        <v>873</v>
      </c>
    </row>
    <row r="21" spans="1:18" x14ac:dyDescent="0.35">
      <c r="A21" s="11" t="s">
        <v>874</v>
      </c>
      <c r="B21" s="12">
        <v>45208</v>
      </c>
      <c r="C21" s="11" t="s">
        <v>79</v>
      </c>
      <c r="D21" s="11" t="s">
        <v>23</v>
      </c>
      <c r="E21" s="11" t="s">
        <v>868</v>
      </c>
      <c r="F21" s="13" t="s">
        <v>869</v>
      </c>
      <c r="G21" s="11" t="s">
        <v>815</v>
      </c>
      <c r="H21" s="11" t="s">
        <v>816</v>
      </c>
      <c r="I21" s="14">
        <v>1710.6</v>
      </c>
      <c r="J21" s="14">
        <v>1710.6</v>
      </c>
      <c r="K21" s="14">
        <v>1710.6</v>
      </c>
      <c r="L21" s="15">
        <v>0</v>
      </c>
      <c r="M21" s="16">
        <v>0</v>
      </c>
      <c r="N21" s="40">
        <v>0.48</v>
      </c>
      <c r="O21" s="41">
        <v>821.09</v>
      </c>
      <c r="P21" s="13" t="s">
        <v>820</v>
      </c>
      <c r="Q21" s="11" t="s">
        <v>875</v>
      </c>
      <c r="R21" s="13"/>
    </row>
    <row r="22" spans="1:18" x14ac:dyDescent="0.35">
      <c r="A22" s="2" t="s">
        <v>876</v>
      </c>
      <c r="B22" s="3">
        <v>44976</v>
      </c>
      <c r="C22" s="2" t="s">
        <v>208</v>
      </c>
      <c r="D22" s="2" t="s">
        <v>97</v>
      </c>
      <c r="E22" s="2" t="s">
        <v>868</v>
      </c>
      <c r="F22" s="4" t="s">
        <v>869</v>
      </c>
      <c r="G22" s="2" t="s">
        <v>815</v>
      </c>
      <c r="H22" s="2" t="s">
        <v>816</v>
      </c>
      <c r="I22" s="5">
        <v>719.4</v>
      </c>
      <c r="J22" s="5">
        <v>719.4</v>
      </c>
      <c r="K22" s="5">
        <v>719.4</v>
      </c>
      <c r="L22" s="6">
        <v>0</v>
      </c>
      <c r="M22" s="7">
        <v>0</v>
      </c>
      <c r="N22" s="38">
        <v>0.48</v>
      </c>
      <c r="O22" s="39">
        <v>345.31</v>
      </c>
      <c r="P22" s="4" t="s">
        <v>820</v>
      </c>
      <c r="Q22" s="2" t="s">
        <v>877</v>
      </c>
      <c r="R22" s="4"/>
    </row>
    <row r="23" spans="1:18" x14ac:dyDescent="0.35">
      <c r="A23" s="11" t="s">
        <v>878</v>
      </c>
      <c r="B23" s="12">
        <v>45130</v>
      </c>
      <c r="C23" s="11" t="s">
        <v>131</v>
      </c>
      <c r="D23" s="11" t="s">
        <v>97</v>
      </c>
      <c r="E23" s="11" t="s">
        <v>845</v>
      </c>
      <c r="F23" s="13" t="s">
        <v>846</v>
      </c>
      <c r="G23" s="11" t="s">
        <v>815</v>
      </c>
      <c r="H23" s="11" t="s">
        <v>816</v>
      </c>
      <c r="I23" s="14">
        <v>523.20000000000005</v>
      </c>
      <c r="J23" s="14">
        <v>523.20000000000005</v>
      </c>
      <c r="K23" s="14">
        <v>523.20000000000005</v>
      </c>
      <c r="L23" s="15">
        <v>0</v>
      </c>
      <c r="M23" s="16">
        <v>0</v>
      </c>
      <c r="N23" s="40">
        <v>0.65</v>
      </c>
      <c r="O23" s="41">
        <v>340.08</v>
      </c>
      <c r="P23" s="13" t="s">
        <v>837</v>
      </c>
      <c r="Q23" s="11" t="s">
        <v>879</v>
      </c>
      <c r="R23" s="13"/>
    </row>
    <row r="24" spans="1:18" x14ac:dyDescent="0.35">
      <c r="A24" s="2" t="s">
        <v>880</v>
      </c>
      <c r="B24" s="3">
        <v>45121</v>
      </c>
      <c r="C24" s="2" t="s">
        <v>85</v>
      </c>
      <c r="D24" s="2" t="s">
        <v>23</v>
      </c>
      <c r="E24" s="2" t="s">
        <v>832</v>
      </c>
      <c r="F24" s="4" t="s">
        <v>833</v>
      </c>
      <c r="G24" s="2" t="s">
        <v>808</v>
      </c>
      <c r="H24" s="2" t="s">
        <v>834</v>
      </c>
      <c r="I24" s="5">
        <v>289.5</v>
      </c>
      <c r="J24" s="5">
        <v>289.5</v>
      </c>
      <c r="K24" s="5">
        <v>289.5</v>
      </c>
      <c r="L24" s="6">
        <v>0</v>
      </c>
      <c r="M24" s="7">
        <v>0</v>
      </c>
      <c r="N24" s="38">
        <v>0.12</v>
      </c>
      <c r="O24" s="39">
        <v>34.74</v>
      </c>
      <c r="P24" s="4" t="s">
        <v>837</v>
      </c>
      <c r="Q24" s="2" t="s">
        <v>881</v>
      </c>
      <c r="R24" s="4"/>
    </row>
    <row r="25" spans="1:18" x14ac:dyDescent="0.35">
      <c r="A25" s="11" t="s">
        <v>882</v>
      </c>
      <c r="B25" s="12">
        <v>45027</v>
      </c>
      <c r="C25" s="11" t="s">
        <v>162</v>
      </c>
      <c r="D25" s="11" t="s">
        <v>97</v>
      </c>
      <c r="E25" s="11" t="s">
        <v>868</v>
      </c>
      <c r="F25" s="13" t="s">
        <v>869</v>
      </c>
      <c r="G25" s="11" t="s">
        <v>815</v>
      </c>
      <c r="H25" s="11" t="s">
        <v>816</v>
      </c>
      <c r="I25" s="14">
        <v>694.4</v>
      </c>
      <c r="J25" s="14">
        <v>694.4</v>
      </c>
      <c r="K25" s="14">
        <v>694.4</v>
      </c>
      <c r="L25" s="15">
        <v>0</v>
      </c>
      <c r="M25" s="16">
        <v>0</v>
      </c>
      <c r="N25" s="40">
        <v>0.48</v>
      </c>
      <c r="O25" s="41">
        <v>333.31</v>
      </c>
      <c r="P25" s="13" t="s">
        <v>817</v>
      </c>
      <c r="Q25" s="11" t="s">
        <v>883</v>
      </c>
      <c r="R25" s="13"/>
    </row>
    <row r="26" spans="1:18" x14ac:dyDescent="0.35">
      <c r="A26" s="2" t="s">
        <v>884</v>
      </c>
      <c r="B26" s="3">
        <v>45178</v>
      </c>
      <c r="C26" s="2" t="s">
        <v>375</v>
      </c>
      <c r="D26" s="2" t="s">
        <v>23</v>
      </c>
      <c r="E26" s="2" t="s">
        <v>806</v>
      </c>
      <c r="F26" s="4" t="s">
        <v>807</v>
      </c>
      <c r="G26" s="2" t="s">
        <v>808</v>
      </c>
      <c r="H26" s="2" t="s">
        <v>809</v>
      </c>
      <c r="I26" s="5">
        <v>1985.2</v>
      </c>
      <c r="J26" s="5">
        <v>1985.2</v>
      </c>
      <c r="K26" s="5">
        <v>1985.2</v>
      </c>
      <c r="L26" s="6">
        <v>0</v>
      </c>
      <c r="M26" s="7">
        <v>0</v>
      </c>
      <c r="N26" s="38">
        <v>2E-3</v>
      </c>
      <c r="O26" s="39">
        <v>3.97</v>
      </c>
      <c r="P26" s="4" t="s">
        <v>837</v>
      </c>
      <c r="Q26" s="2" t="s">
        <v>885</v>
      </c>
      <c r="R26" s="4"/>
    </row>
    <row r="27" spans="1:18" x14ac:dyDescent="0.35">
      <c r="A27" s="11" t="s">
        <v>886</v>
      </c>
      <c r="B27" s="12">
        <v>45257</v>
      </c>
      <c r="C27" s="11" t="s">
        <v>315</v>
      </c>
      <c r="D27" s="11" t="s">
        <v>51</v>
      </c>
      <c r="E27" s="11" t="s">
        <v>868</v>
      </c>
      <c r="F27" s="13" t="s">
        <v>869</v>
      </c>
      <c r="G27" s="11" t="s">
        <v>815</v>
      </c>
      <c r="H27" s="11" t="s">
        <v>816</v>
      </c>
      <c r="I27" s="14">
        <v>442.4</v>
      </c>
      <c r="J27" s="14">
        <v>442.4</v>
      </c>
      <c r="K27" s="14">
        <v>446.6</v>
      </c>
      <c r="L27" s="15">
        <v>4.2</v>
      </c>
      <c r="M27" s="16">
        <v>9.4999999999999998E-3</v>
      </c>
      <c r="N27" s="40">
        <v>0.48</v>
      </c>
      <c r="O27" s="41">
        <v>214.37</v>
      </c>
      <c r="P27" s="13" t="s">
        <v>820</v>
      </c>
      <c r="Q27" s="11" t="s">
        <v>887</v>
      </c>
      <c r="R27" s="13"/>
    </row>
    <row r="28" spans="1:18" x14ac:dyDescent="0.35">
      <c r="A28" s="2" t="s">
        <v>888</v>
      </c>
      <c r="B28" s="3">
        <v>45208</v>
      </c>
      <c r="C28" s="2" t="s">
        <v>182</v>
      </c>
      <c r="D28" s="2" t="s">
        <v>31</v>
      </c>
      <c r="E28" s="2" t="s">
        <v>845</v>
      </c>
      <c r="F28" s="4" t="s">
        <v>846</v>
      </c>
      <c r="G28" s="2" t="s">
        <v>815</v>
      </c>
      <c r="H28" s="2" t="s">
        <v>816</v>
      </c>
      <c r="I28" s="5">
        <v>301.7</v>
      </c>
      <c r="J28" s="5">
        <v>301.7</v>
      </c>
      <c r="K28" s="5">
        <v>301.7</v>
      </c>
      <c r="L28" s="6">
        <v>0</v>
      </c>
      <c r="M28" s="7">
        <v>0</v>
      </c>
      <c r="N28" s="38">
        <v>0.65</v>
      </c>
      <c r="O28" s="39">
        <v>196.1</v>
      </c>
      <c r="P28" s="4" t="s">
        <v>829</v>
      </c>
      <c r="Q28" s="2" t="s">
        <v>889</v>
      </c>
      <c r="R28" s="4"/>
    </row>
    <row r="29" spans="1:18" x14ac:dyDescent="0.35">
      <c r="A29" s="11" t="s">
        <v>890</v>
      </c>
      <c r="B29" s="12">
        <v>45250</v>
      </c>
      <c r="C29" s="11" t="s">
        <v>206</v>
      </c>
      <c r="D29" s="11" t="s">
        <v>42</v>
      </c>
      <c r="E29" s="11" t="s">
        <v>845</v>
      </c>
      <c r="F29" s="13" t="s">
        <v>846</v>
      </c>
      <c r="G29" s="11" t="s">
        <v>815</v>
      </c>
      <c r="H29" s="11" t="s">
        <v>816</v>
      </c>
      <c r="I29" s="14">
        <v>1334.4</v>
      </c>
      <c r="J29" s="14">
        <v>1317.9</v>
      </c>
      <c r="K29" s="14">
        <v>1378.1</v>
      </c>
      <c r="L29" s="21">
        <v>43.7</v>
      </c>
      <c r="M29" s="22">
        <v>3.27E-2</v>
      </c>
      <c r="N29" s="40">
        <v>0.65</v>
      </c>
      <c r="O29" s="41">
        <v>895.76</v>
      </c>
      <c r="P29" s="13" t="s">
        <v>829</v>
      </c>
      <c r="Q29" s="11" t="s">
        <v>891</v>
      </c>
      <c r="R29" s="13"/>
    </row>
    <row r="30" spans="1:18" x14ac:dyDescent="0.35">
      <c r="A30" s="2" t="s">
        <v>892</v>
      </c>
      <c r="B30" s="3">
        <v>45257</v>
      </c>
      <c r="C30" s="2" t="s">
        <v>303</v>
      </c>
      <c r="D30" s="2" t="s">
        <v>42</v>
      </c>
      <c r="E30" s="2" t="s">
        <v>893</v>
      </c>
      <c r="F30" s="4" t="s">
        <v>894</v>
      </c>
      <c r="G30" s="2" t="s">
        <v>895</v>
      </c>
      <c r="H30" s="2" t="s">
        <v>816</v>
      </c>
      <c r="I30" s="5">
        <v>1845.4</v>
      </c>
      <c r="J30" s="5">
        <v>1845.4</v>
      </c>
      <c r="K30" s="5">
        <v>1845.4</v>
      </c>
      <c r="L30" s="6">
        <v>0</v>
      </c>
      <c r="M30" s="7">
        <v>0</v>
      </c>
      <c r="N30" s="38">
        <v>8.75</v>
      </c>
      <c r="O30" s="39">
        <v>16147.25</v>
      </c>
      <c r="P30" s="4" t="s">
        <v>820</v>
      </c>
      <c r="Q30" s="2" t="s">
        <v>896</v>
      </c>
      <c r="R30" s="4"/>
    </row>
    <row r="31" spans="1:18" x14ac:dyDescent="0.35">
      <c r="A31" s="11" t="s">
        <v>897</v>
      </c>
      <c r="B31" s="12">
        <v>45275</v>
      </c>
      <c r="C31" s="11" t="s">
        <v>245</v>
      </c>
      <c r="D31" s="11" t="s">
        <v>42</v>
      </c>
      <c r="E31" s="11" t="s">
        <v>823</v>
      </c>
      <c r="F31" s="13" t="s">
        <v>824</v>
      </c>
      <c r="G31" s="11" t="s">
        <v>808</v>
      </c>
      <c r="H31" s="11" t="s">
        <v>825</v>
      </c>
      <c r="I31" s="14">
        <v>527.79999999999995</v>
      </c>
      <c r="J31" s="14">
        <v>527.79999999999995</v>
      </c>
      <c r="K31" s="14">
        <v>527.79999999999995</v>
      </c>
      <c r="L31" s="15">
        <v>0</v>
      </c>
      <c r="M31" s="16">
        <v>0</v>
      </c>
      <c r="N31" s="40">
        <v>6.2</v>
      </c>
      <c r="O31" s="41">
        <v>3272.36</v>
      </c>
      <c r="P31" s="13" t="s">
        <v>837</v>
      </c>
      <c r="Q31" s="11" t="s">
        <v>898</v>
      </c>
      <c r="R31" s="13"/>
    </row>
    <row r="32" spans="1:18" x14ac:dyDescent="0.35">
      <c r="A32" s="2" t="s">
        <v>899</v>
      </c>
      <c r="B32" s="3">
        <v>45197</v>
      </c>
      <c r="C32" s="2" t="s">
        <v>273</v>
      </c>
      <c r="D32" s="2" t="s">
        <v>42</v>
      </c>
      <c r="E32" s="2" t="s">
        <v>893</v>
      </c>
      <c r="F32" s="4" t="s">
        <v>894</v>
      </c>
      <c r="G32" s="2" t="s">
        <v>895</v>
      </c>
      <c r="H32" s="2" t="s">
        <v>816</v>
      </c>
      <c r="I32" s="5">
        <v>762.9</v>
      </c>
      <c r="J32" s="5">
        <v>762.9</v>
      </c>
      <c r="K32" s="5">
        <v>762.9</v>
      </c>
      <c r="L32" s="6">
        <v>0</v>
      </c>
      <c r="M32" s="7">
        <v>0</v>
      </c>
      <c r="N32" s="38">
        <v>8.75</v>
      </c>
      <c r="O32" s="39">
        <v>6675.38</v>
      </c>
      <c r="P32" s="4" t="s">
        <v>837</v>
      </c>
      <c r="Q32" s="2" t="s">
        <v>900</v>
      </c>
      <c r="R32" s="4"/>
    </row>
    <row r="33" spans="1:18" x14ac:dyDescent="0.35">
      <c r="A33" s="11" t="s">
        <v>901</v>
      </c>
      <c r="B33" s="12">
        <v>45097</v>
      </c>
      <c r="C33" s="11" t="s">
        <v>96</v>
      </c>
      <c r="D33" s="11" t="s">
        <v>23</v>
      </c>
      <c r="E33" s="11" t="s">
        <v>806</v>
      </c>
      <c r="F33" s="13" t="s">
        <v>807</v>
      </c>
      <c r="G33" s="11" t="s">
        <v>808</v>
      </c>
      <c r="H33" s="11" t="s">
        <v>809</v>
      </c>
      <c r="I33" s="14">
        <v>412.4</v>
      </c>
      <c r="J33" s="14">
        <v>412.4</v>
      </c>
      <c r="K33" s="14">
        <v>412.4</v>
      </c>
      <c r="L33" s="15">
        <v>0</v>
      </c>
      <c r="M33" s="16">
        <v>0</v>
      </c>
      <c r="N33" s="40">
        <v>2E-3</v>
      </c>
      <c r="O33" s="41">
        <v>0.82</v>
      </c>
      <c r="P33" s="13" t="s">
        <v>829</v>
      </c>
      <c r="Q33" s="11" t="s">
        <v>902</v>
      </c>
      <c r="R33" s="13"/>
    </row>
    <row r="34" spans="1:18" x14ac:dyDescent="0.35">
      <c r="A34" s="2" t="s">
        <v>903</v>
      </c>
      <c r="B34" s="3">
        <v>44965</v>
      </c>
      <c r="C34" s="2" t="s">
        <v>113</v>
      </c>
      <c r="D34" s="2" t="s">
        <v>31</v>
      </c>
      <c r="E34" s="2" t="s">
        <v>840</v>
      </c>
      <c r="F34" s="4" t="s">
        <v>841</v>
      </c>
      <c r="G34" s="2" t="s">
        <v>842</v>
      </c>
      <c r="H34" s="2" t="s">
        <v>816</v>
      </c>
      <c r="I34" s="5">
        <v>859.1</v>
      </c>
      <c r="J34" s="5">
        <v>859.1</v>
      </c>
      <c r="K34" s="5">
        <v>859.1</v>
      </c>
      <c r="L34" s="6">
        <v>0</v>
      </c>
      <c r="M34" s="7">
        <v>0</v>
      </c>
      <c r="N34" s="38">
        <v>42</v>
      </c>
      <c r="O34" s="39">
        <v>36082.199999999997</v>
      </c>
      <c r="P34" s="4" t="s">
        <v>820</v>
      </c>
      <c r="Q34" s="2" t="s">
        <v>904</v>
      </c>
      <c r="R34" s="4"/>
    </row>
    <row r="35" spans="1:18" x14ac:dyDescent="0.35">
      <c r="A35" s="11" t="s">
        <v>905</v>
      </c>
      <c r="B35" s="12">
        <v>44948</v>
      </c>
      <c r="C35" s="11" t="s">
        <v>353</v>
      </c>
      <c r="D35" s="11" t="s">
        <v>31</v>
      </c>
      <c r="E35" s="11" t="s">
        <v>868</v>
      </c>
      <c r="F35" s="13" t="s">
        <v>869</v>
      </c>
      <c r="G35" s="11" t="s">
        <v>815</v>
      </c>
      <c r="H35" s="11" t="s">
        <v>816</v>
      </c>
      <c r="I35" s="14">
        <v>1463.9</v>
      </c>
      <c r="J35" s="14">
        <v>1463.9</v>
      </c>
      <c r="K35" s="14">
        <v>1463.9</v>
      </c>
      <c r="L35" s="15">
        <v>0</v>
      </c>
      <c r="M35" s="16">
        <v>0</v>
      </c>
      <c r="N35" s="40">
        <v>0.48</v>
      </c>
      <c r="O35" s="41">
        <v>702.67</v>
      </c>
      <c r="P35" s="13" t="s">
        <v>810</v>
      </c>
      <c r="Q35" s="11" t="s">
        <v>906</v>
      </c>
      <c r="R35" s="13"/>
    </row>
    <row r="36" spans="1:18" x14ac:dyDescent="0.35">
      <c r="A36" s="2" t="s">
        <v>907</v>
      </c>
      <c r="B36" s="3">
        <v>45246</v>
      </c>
      <c r="C36" s="2" t="s">
        <v>403</v>
      </c>
      <c r="D36" s="2" t="s">
        <v>23</v>
      </c>
      <c r="E36" s="2" t="s">
        <v>840</v>
      </c>
      <c r="F36" s="4" t="s">
        <v>841</v>
      </c>
      <c r="G36" s="2" t="s">
        <v>842</v>
      </c>
      <c r="H36" s="2" t="s">
        <v>816</v>
      </c>
      <c r="I36" s="5">
        <v>1517.3</v>
      </c>
      <c r="J36" s="5">
        <v>1517.3</v>
      </c>
      <c r="K36" s="5">
        <v>1549.2</v>
      </c>
      <c r="L36" s="21">
        <v>31.9</v>
      </c>
      <c r="M36" s="22">
        <v>2.1000000000000001E-2</v>
      </c>
      <c r="N36" s="38">
        <v>42</v>
      </c>
      <c r="O36" s="39">
        <v>65066.400000000001</v>
      </c>
      <c r="P36" s="4" t="s">
        <v>826</v>
      </c>
      <c r="Q36" s="2" t="s">
        <v>908</v>
      </c>
      <c r="R36" s="4"/>
    </row>
    <row r="37" spans="1:18" x14ac:dyDescent="0.35">
      <c r="A37" s="11" t="s">
        <v>909</v>
      </c>
      <c r="B37" s="12">
        <v>45234</v>
      </c>
      <c r="C37" s="11" t="s">
        <v>121</v>
      </c>
      <c r="D37" s="11" t="s">
        <v>23</v>
      </c>
      <c r="E37" s="11" t="s">
        <v>832</v>
      </c>
      <c r="F37" s="13" t="s">
        <v>833</v>
      </c>
      <c r="G37" s="11" t="s">
        <v>808</v>
      </c>
      <c r="H37" s="11" t="s">
        <v>834</v>
      </c>
      <c r="I37" s="14">
        <v>1121.4000000000001</v>
      </c>
      <c r="J37" s="14">
        <v>1134.3</v>
      </c>
      <c r="K37" s="14">
        <v>1161.2</v>
      </c>
      <c r="L37" s="21">
        <v>39.799999999999997</v>
      </c>
      <c r="M37" s="22">
        <v>3.5499999999999997E-2</v>
      </c>
      <c r="N37" s="40">
        <v>0.12</v>
      </c>
      <c r="O37" s="41">
        <v>139.34</v>
      </c>
      <c r="P37" s="13" t="s">
        <v>829</v>
      </c>
      <c r="Q37" s="11" t="s">
        <v>910</v>
      </c>
      <c r="R37" s="13"/>
    </row>
    <row r="38" spans="1:18" x14ac:dyDescent="0.35">
      <c r="A38" s="2" t="s">
        <v>911</v>
      </c>
      <c r="B38" s="3">
        <v>45227</v>
      </c>
      <c r="C38" s="2" t="s">
        <v>178</v>
      </c>
      <c r="D38" s="2" t="s">
        <v>31</v>
      </c>
      <c r="E38" s="2" t="s">
        <v>806</v>
      </c>
      <c r="F38" s="4" t="s">
        <v>807</v>
      </c>
      <c r="G38" s="2" t="s">
        <v>808</v>
      </c>
      <c r="H38" s="2" t="s">
        <v>809</v>
      </c>
      <c r="I38" s="5">
        <v>595.9</v>
      </c>
      <c r="J38" s="5">
        <v>595.9</v>
      </c>
      <c r="K38" s="5">
        <v>595.9</v>
      </c>
      <c r="L38" s="6">
        <v>0</v>
      </c>
      <c r="M38" s="7">
        <v>0</v>
      </c>
      <c r="N38" s="38">
        <v>2E-3</v>
      </c>
      <c r="O38" s="39">
        <v>1.19</v>
      </c>
      <c r="P38" s="4" t="s">
        <v>820</v>
      </c>
      <c r="Q38" s="2" t="s">
        <v>912</v>
      </c>
      <c r="R38" s="4"/>
    </row>
    <row r="39" spans="1:18" x14ac:dyDescent="0.35">
      <c r="A39" s="11" t="s">
        <v>913</v>
      </c>
      <c r="B39" s="12">
        <v>45214</v>
      </c>
      <c r="C39" s="11" t="s">
        <v>421</v>
      </c>
      <c r="D39" s="11" t="s">
        <v>31</v>
      </c>
      <c r="E39" s="11" t="s">
        <v>806</v>
      </c>
      <c r="F39" s="13" t="s">
        <v>807</v>
      </c>
      <c r="G39" s="11" t="s">
        <v>808</v>
      </c>
      <c r="H39" s="11" t="s">
        <v>809</v>
      </c>
      <c r="I39" s="14">
        <v>1713.4</v>
      </c>
      <c r="J39" s="14">
        <v>1713.4</v>
      </c>
      <c r="K39" s="14">
        <v>1787.1</v>
      </c>
      <c r="L39" s="21">
        <v>73.7</v>
      </c>
      <c r="M39" s="22">
        <v>4.2999999999999997E-2</v>
      </c>
      <c r="N39" s="40">
        <v>2E-3</v>
      </c>
      <c r="O39" s="41">
        <v>3.57</v>
      </c>
      <c r="P39" s="13" t="s">
        <v>837</v>
      </c>
      <c r="Q39" s="11" t="s">
        <v>914</v>
      </c>
      <c r="R39" s="13" t="s">
        <v>873</v>
      </c>
    </row>
    <row r="40" spans="1:18" x14ac:dyDescent="0.35">
      <c r="A40" s="2" t="s">
        <v>915</v>
      </c>
      <c r="B40" s="3">
        <v>44933</v>
      </c>
      <c r="C40" s="2" t="s">
        <v>417</v>
      </c>
      <c r="D40" s="2" t="s">
        <v>31</v>
      </c>
      <c r="E40" s="2" t="s">
        <v>868</v>
      </c>
      <c r="F40" s="4" t="s">
        <v>869</v>
      </c>
      <c r="G40" s="2" t="s">
        <v>815</v>
      </c>
      <c r="H40" s="2" t="s">
        <v>816</v>
      </c>
      <c r="I40" s="5">
        <v>1107</v>
      </c>
      <c r="J40" s="5">
        <v>1107</v>
      </c>
      <c r="K40" s="5">
        <v>1107</v>
      </c>
      <c r="L40" s="6">
        <v>0</v>
      </c>
      <c r="M40" s="7">
        <v>0</v>
      </c>
      <c r="N40" s="38">
        <v>0.48</v>
      </c>
      <c r="O40" s="39">
        <v>531.36</v>
      </c>
      <c r="P40" s="4" t="s">
        <v>810</v>
      </c>
      <c r="Q40" s="2" t="s">
        <v>916</v>
      </c>
      <c r="R40" s="4"/>
    </row>
    <row r="41" spans="1:18" x14ac:dyDescent="0.35">
      <c r="A41" s="11" t="s">
        <v>917</v>
      </c>
      <c r="B41" s="12">
        <v>45007</v>
      </c>
      <c r="C41" s="11" t="s">
        <v>249</v>
      </c>
      <c r="D41" s="11" t="s">
        <v>31</v>
      </c>
      <c r="E41" s="11" t="s">
        <v>813</v>
      </c>
      <c r="F41" s="13" t="s">
        <v>814</v>
      </c>
      <c r="G41" s="11" t="s">
        <v>815</v>
      </c>
      <c r="H41" s="11" t="s">
        <v>816</v>
      </c>
      <c r="I41" s="14">
        <v>1211.5</v>
      </c>
      <c r="J41" s="14">
        <v>1243.9000000000001</v>
      </c>
      <c r="K41" s="14">
        <v>1243.9000000000001</v>
      </c>
      <c r="L41" s="21">
        <v>32.4</v>
      </c>
      <c r="M41" s="22">
        <v>2.6700000000000002E-2</v>
      </c>
      <c r="N41" s="40">
        <v>0.32</v>
      </c>
      <c r="O41" s="41">
        <v>398.05</v>
      </c>
      <c r="P41" s="13" t="s">
        <v>826</v>
      </c>
      <c r="Q41" s="11" t="s">
        <v>918</v>
      </c>
      <c r="R41" s="13"/>
    </row>
    <row r="42" spans="1:18" x14ac:dyDescent="0.35">
      <c r="A42" s="2" t="s">
        <v>919</v>
      </c>
      <c r="B42" s="3">
        <v>45070</v>
      </c>
      <c r="C42" s="2" t="s">
        <v>121</v>
      </c>
      <c r="D42" s="2" t="s">
        <v>97</v>
      </c>
      <c r="E42" s="2" t="s">
        <v>806</v>
      </c>
      <c r="F42" s="4" t="s">
        <v>807</v>
      </c>
      <c r="G42" s="2" t="s">
        <v>808</v>
      </c>
      <c r="H42" s="2" t="s">
        <v>809</v>
      </c>
      <c r="I42" s="5">
        <v>767</v>
      </c>
      <c r="J42" s="5">
        <v>767</v>
      </c>
      <c r="K42" s="5">
        <v>767</v>
      </c>
      <c r="L42" s="6">
        <v>0</v>
      </c>
      <c r="M42" s="7">
        <v>0</v>
      </c>
      <c r="N42" s="38">
        <v>2E-3</v>
      </c>
      <c r="O42" s="39">
        <v>1.53</v>
      </c>
      <c r="P42" s="4" t="s">
        <v>817</v>
      </c>
      <c r="Q42" s="2" t="s">
        <v>920</v>
      </c>
      <c r="R42" s="4"/>
    </row>
    <row r="43" spans="1:18" x14ac:dyDescent="0.35">
      <c r="A43" s="11" t="s">
        <v>921</v>
      </c>
      <c r="B43" s="12">
        <v>44932</v>
      </c>
      <c r="C43" s="11" t="s">
        <v>208</v>
      </c>
      <c r="D43" s="11" t="s">
        <v>23</v>
      </c>
      <c r="E43" s="11" t="s">
        <v>813</v>
      </c>
      <c r="F43" s="13" t="s">
        <v>814</v>
      </c>
      <c r="G43" s="11" t="s">
        <v>815</v>
      </c>
      <c r="H43" s="11" t="s">
        <v>816</v>
      </c>
      <c r="I43" s="14">
        <v>775.5</v>
      </c>
      <c r="J43" s="14">
        <v>775.5</v>
      </c>
      <c r="K43" s="14">
        <v>775.5</v>
      </c>
      <c r="L43" s="15">
        <v>0</v>
      </c>
      <c r="M43" s="16">
        <v>0</v>
      </c>
      <c r="N43" s="40">
        <v>0.32</v>
      </c>
      <c r="O43" s="41">
        <v>248.16</v>
      </c>
      <c r="P43" s="13" t="s">
        <v>820</v>
      </c>
      <c r="Q43" s="11" t="s">
        <v>922</v>
      </c>
      <c r="R43" s="13"/>
    </row>
    <row r="44" spans="1:18" x14ac:dyDescent="0.35">
      <c r="A44" s="2" t="s">
        <v>923</v>
      </c>
      <c r="B44" s="3">
        <v>45176</v>
      </c>
      <c r="C44" s="2" t="s">
        <v>341</v>
      </c>
      <c r="D44" s="2" t="s">
        <v>51</v>
      </c>
      <c r="E44" s="2" t="s">
        <v>813</v>
      </c>
      <c r="F44" s="4" t="s">
        <v>814</v>
      </c>
      <c r="G44" s="2" t="s">
        <v>815</v>
      </c>
      <c r="H44" s="2" t="s">
        <v>816</v>
      </c>
      <c r="I44" s="5">
        <v>360.4</v>
      </c>
      <c r="J44" s="5">
        <v>360.7</v>
      </c>
      <c r="K44" s="5">
        <v>360.7</v>
      </c>
      <c r="L44" s="6">
        <v>0.3</v>
      </c>
      <c r="M44" s="7">
        <v>8.0000000000000004E-4</v>
      </c>
      <c r="N44" s="38">
        <v>0.32</v>
      </c>
      <c r="O44" s="39">
        <v>115.42</v>
      </c>
      <c r="P44" s="4" t="s">
        <v>817</v>
      </c>
      <c r="Q44" s="2" t="s">
        <v>924</v>
      </c>
      <c r="R44" s="4"/>
    </row>
    <row r="45" spans="1:18" x14ac:dyDescent="0.35">
      <c r="A45" s="11" t="s">
        <v>925</v>
      </c>
      <c r="B45" s="12">
        <v>45116</v>
      </c>
      <c r="C45" s="11" t="s">
        <v>313</v>
      </c>
      <c r="D45" s="11" t="s">
        <v>51</v>
      </c>
      <c r="E45" s="11" t="s">
        <v>845</v>
      </c>
      <c r="F45" s="13" t="s">
        <v>846</v>
      </c>
      <c r="G45" s="11" t="s">
        <v>815</v>
      </c>
      <c r="H45" s="11" t="s">
        <v>816</v>
      </c>
      <c r="I45" s="14">
        <v>1618.3</v>
      </c>
      <c r="J45" s="14">
        <v>1618.3</v>
      </c>
      <c r="K45" s="14">
        <v>1618.3</v>
      </c>
      <c r="L45" s="15">
        <v>0</v>
      </c>
      <c r="M45" s="16">
        <v>0</v>
      </c>
      <c r="N45" s="40">
        <v>0.65</v>
      </c>
      <c r="O45" s="41">
        <v>1051.8900000000001</v>
      </c>
      <c r="P45" s="13" t="s">
        <v>826</v>
      </c>
      <c r="Q45" s="11" t="s">
        <v>926</v>
      </c>
      <c r="R45" s="13"/>
    </row>
    <row r="46" spans="1:18" x14ac:dyDescent="0.35">
      <c r="A46" s="2" t="s">
        <v>927</v>
      </c>
      <c r="B46" s="3">
        <v>44928</v>
      </c>
      <c r="C46" s="2" t="s">
        <v>30</v>
      </c>
      <c r="D46" s="2" t="s">
        <v>42</v>
      </c>
      <c r="E46" s="2" t="s">
        <v>840</v>
      </c>
      <c r="F46" s="4" t="s">
        <v>841</v>
      </c>
      <c r="G46" s="2" t="s">
        <v>842</v>
      </c>
      <c r="H46" s="2" t="s">
        <v>816</v>
      </c>
      <c r="I46" s="5">
        <v>1264.8</v>
      </c>
      <c r="J46" s="5">
        <v>1264.8</v>
      </c>
      <c r="K46" s="5">
        <v>1316.9</v>
      </c>
      <c r="L46" s="21">
        <v>52.1</v>
      </c>
      <c r="M46" s="22">
        <v>4.1200000000000001E-2</v>
      </c>
      <c r="N46" s="38">
        <v>42</v>
      </c>
      <c r="O46" s="39">
        <v>55309.8</v>
      </c>
      <c r="P46" s="4" t="s">
        <v>829</v>
      </c>
      <c r="Q46" s="2" t="s">
        <v>928</v>
      </c>
      <c r="R46" s="4" t="s">
        <v>873</v>
      </c>
    </row>
    <row r="47" spans="1:18" x14ac:dyDescent="0.35">
      <c r="A47" s="11" t="s">
        <v>929</v>
      </c>
      <c r="B47" s="12">
        <v>45191</v>
      </c>
      <c r="C47" s="11" t="s">
        <v>455</v>
      </c>
      <c r="D47" s="11" t="s">
        <v>31</v>
      </c>
      <c r="E47" s="11" t="s">
        <v>840</v>
      </c>
      <c r="F47" s="13" t="s">
        <v>841</v>
      </c>
      <c r="G47" s="11" t="s">
        <v>842</v>
      </c>
      <c r="H47" s="11" t="s">
        <v>816</v>
      </c>
      <c r="I47" s="14">
        <v>1396.1</v>
      </c>
      <c r="J47" s="14">
        <v>1396.1</v>
      </c>
      <c r="K47" s="14">
        <v>1396.1</v>
      </c>
      <c r="L47" s="15">
        <v>0</v>
      </c>
      <c r="M47" s="16">
        <v>0</v>
      </c>
      <c r="N47" s="40">
        <v>42</v>
      </c>
      <c r="O47" s="41">
        <v>58636.2</v>
      </c>
      <c r="P47" s="13" t="s">
        <v>826</v>
      </c>
      <c r="Q47" s="11" t="s">
        <v>930</v>
      </c>
      <c r="R47" s="13"/>
    </row>
    <row r="48" spans="1:18" x14ac:dyDescent="0.35">
      <c r="A48" s="2" t="s">
        <v>931</v>
      </c>
      <c r="B48" s="3">
        <v>45213</v>
      </c>
      <c r="C48" s="2" t="s">
        <v>182</v>
      </c>
      <c r="D48" s="2" t="s">
        <v>31</v>
      </c>
      <c r="E48" s="2" t="s">
        <v>813</v>
      </c>
      <c r="F48" s="4" t="s">
        <v>814</v>
      </c>
      <c r="G48" s="2" t="s">
        <v>815</v>
      </c>
      <c r="H48" s="2" t="s">
        <v>816</v>
      </c>
      <c r="I48" s="5">
        <v>483.2</v>
      </c>
      <c r="J48" s="5">
        <v>473.6</v>
      </c>
      <c r="K48" s="5">
        <v>473.6</v>
      </c>
      <c r="L48" s="6">
        <v>-9.6</v>
      </c>
      <c r="M48" s="7">
        <v>-1.9900000000000001E-2</v>
      </c>
      <c r="N48" s="38">
        <v>0.32</v>
      </c>
      <c r="O48" s="39">
        <v>151.55000000000001</v>
      </c>
      <c r="P48" s="4" t="s">
        <v>826</v>
      </c>
      <c r="Q48" s="2" t="s">
        <v>932</v>
      </c>
      <c r="R48" s="4"/>
    </row>
    <row r="49" spans="1:18" x14ac:dyDescent="0.35">
      <c r="A49" s="11" t="s">
        <v>933</v>
      </c>
      <c r="B49" s="12">
        <v>44958</v>
      </c>
      <c r="C49" s="11" t="s">
        <v>228</v>
      </c>
      <c r="D49" s="11" t="s">
        <v>97</v>
      </c>
      <c r="E49" s="11" t="s">
        <v>845</v>
      </c>
      <c r="F49" s="13" t="s">
        <v>846</v>
      </c>
      <c r="G49" s="11" t="s">
        <v>815</v>
      </c>
      <c r="H49" s="11" t="s">
        <v>816</v>
      </c>
      <c r="I49" s="14">
        <v>1172.0999999999999</v>
      </c>
      <c r="J49" s="14">
        <v>1172.0999999999999</v>
      </c>
      <c r="K49" s="14">
        <v>1172.0999999999999</v>
      </c>
      <c r="L49" s="15">
        <v>0</v>
      </c>
      <c r="M49" s="16">
        <v>0</v>
      </c>
      <c r="N49" s="40">
        <v>0.65</v>
      </c>
      <c r="O49" s="41">
        <v>761.87</v>
      </c>
      <c r="P49" s="13" t="s">
        <v>810</v>
      </c>
      <c r="Q49" s="11" t="s">
        <v>934</v>
      </c>
      <c r="R49" s="13"/>
    </row>
    <row r="50" spans="1:18" x14ac:dyDescent="0.35">
      <c r="A50" s="2" t="s">
        <v>935</v>
      </c>
      <c r="B50" s="3">
        <v>45012</v>
      </c>
      <c r="C50" s="2" t="s">
        <v>96</v>
      </c>
      <c r="D50" s="2" t="s">
        <v>31</v>
      </c>
      <c r="E50" s="2" t="s">
        <v>893</v>
      </c>
      <c r="F50" s="4" t="s">
        <v>894</v>
      </c>
      <c r="G50" s="2" t="s">
        <v>895</v>
      </c>
      <c r="H50" s="2" t="s">
        <v>816</v>
      </c>
      <c r="I50" s="5">
        <v>1168.2</v>
      </c>
      <c r="J50" s="5">
        <v>1168.2</v>
      </c>
      <c r="K50" s="5">
        <v>1123.8</v>
      </c>
      <c r="L50" s="21">
        <v>-44.4</v>
      </c>
      <c r="M50" s="22">
        <v>-3.7999999999999999E-2</v>
      </c>
      <c r="N50" s="38">
        <v>8.75</v>
      </c>
      <c r="O50" s="39">
        <v>9833.25</v>
      </c>
      <c r="P50" s="4" t="s">
        <v>826</v>
      </c>
      <c r="Q50" s="2" t="s">
        <v>936</v>
      </c>
      <c r="R50" s="4"/>
    </row>
    <row r="51" spans="1:18" x14ac:dyDescent="0.35">
      <c r="A51" s="11" t="s">
        <v>937</v>
      </c>
      <c r="B51" s="12">
        <v>44965</v>
      </c>
      <c r="C51" s="11" t="s">
        <v>135</v>
      </c>
      <c r="D51" s="11" t="s">
        <v>31</v>
      </c>
      <c r="E51" s="11" t="s">
        <v>851</v>
      </c>
      <c r="F51" s="13" t="s">
        <v>852</v>
      </c>
      <c r="G51" s="11" t="s">
        <v>853</v>
      </c>
      <c r="H51" s="11" t="s">
        <v>816</v>
      </c>
      <c r="I51" s="14">
        <v>1621.4</v>
      </c>
      <c r="J51" s="14">
        <v>1621.4</v>
      </c>
      <c r="K51" s="14">
        <v>1627.7</v>
      </c>
      <c r="L51" s="15">
        <v>6.3</v>
      </c>
      <c r="M51" s="16">
        <v>3.8999999999999998E-3</v>
      </c>
      <c r="N51" s="40">
        <v>18.5</v>
      </c>
      <c r="O51" s="41">
        <v>30112.45</v>
      </c>
      <c r="P51" s="13" t="s">
        <v>826</v>
      </c>
      <c r="Q51" s="11" t="s">
        <v>938</v>
      </c>
      <c r="R51" s="13"/>
    </row>
    <row r="52" spans="1:18" x14ac:dyDescent="0.35">
      <c r="A52" s="2" t="s">
        <v>939</v>
      </c>
      <c r="B52" s="3">
        <v>45014</v>
      </c>
      <c r="C52" s="2" t="s">
        <v>389</v>
      </c>
      <c r="D52" s="2" t="s">
        <v>31</v>
      </c>
      <c r="E52" s="2" t="s">
        <v>832</v>
      </c>
      <c r="F52" s="4" t="s">
        <v>833</v>
      </c>
      <c r="G52" s="2" t="s">
        <v>808</v>
      </c>
      <c r="H52" s="2" t="s">
        <v>834</v>
      </c>
      <c r="I52" s="5">
        <v>1859</v>
      </c>
      <c r="J52" s="5">
        <v>1859</v>
      </c>
      <c r="K52" s="5">
        <v>1859</v>
      </c>
      <c r="L52" s="6">
        <v>0</v>
      </c>
      <c r="M52" s="7">
        <v>0</v>
      </c>
      <c r="N52" s="38">
        <v>0.12</v>
      </c>
      <c r="O52" s="39">
        <v>223.08</v>
      </c>
      <c r="P52" s="4" t="s">
        <v>817</v>
      </c>
      <c r="Q52" s="2" t="s">
        <v>940</v>
      </c>
      <c r="R52" s="4"/>
    </row>
    <row r="53" spans="1:18" x14ac:dyDescent="0.35">
      <c r="A53" s="11" t="s">
        <v>941</v>
      </c>
      <c r="B53" s="12">
        <v>45124</v>
      </c>
      <c r="C53" s="11" t="s">
        <v>137</v>
      </c>
      <c r="D53" s="11" t="s">
        <v>31</v>
      </c>
      <c r="E53" s="11" t="s">
        <v>893</v>
      </c>
      <c r="F53" s="13" t="s">
        <v>894</v>
      </c>
      <c r="G53" s="11" t="s">
        <v>895</v>
      </c>
      <c r="H53" s="11" t="s">
        <v>816</v>
      </c>
      <c r="I53" s="14">
        <v>1729</v>
      </c>
      <c r="J53" s="14">
        <v>1729</v>
      </c>
      <c r="K53" s="14">
        <v>1729</v>
      </c>
      <c r="L53" s="15">
        <v>0</v>
      </c>
      <c r="M53" s="16">
        <v>0</v>
      </c>
      <c r="N53" s="40">
        <v>8.75</v>
      </c>
      <c r="O53" s="41">
        <v>15128.75</v>
      </c>
      <c r="P53" s="13" t="s">
        <v>826</v>
      </c>
      <c r="Q53" s="11" t="s">
        <v>942</v>
      </c>
      <c r="R53" s="13"/>
    </row>
    <row r="54" spans="1:18" x14ac:dyDescent="0.35">
      <c r="A54" s="2" t="s">
        <v>943</v>
      </c>
      <c r="B54" s="3">
        <v>45167</v>
      </c>
      <c r="C54" s="2" t="s">
        <v>208</v>
      </c>
      <c r="D54" s="2" t="s">
        <v>42</v>
      </c>
      <c r="E54" s="2" t="s">
        <v>806</v>
      </c>
      <c r="F54" s="4" t="s">
        <v>807</v>
      </c>
      <c r="G54" s="2" t="s">
        <v>808</v>
      </c>
      <c r="H54" s="2" t="s">
        <v>809</v>
      </c>
      <c r="I54" s="5">
        <v>811</v>
      </c>
      <c r="J54" s="5">
        <v>811</v>
      </c>
      <c r="K54" s="5">
        <v>811</v>
      </c>
      <c r="L54" s="6">
        <v>0</v>
      </c>
      <c r="M54" s="7">
        <v>0</v>
      </c>
      <c r="N54" s="38">
        <v>2E-3</v>
      </c>
      <c r="O54" s="39">
        <v>1.62</v>
      </c>
      <c r="P54" s="4" t="s">
        <v>810</v>
      </c>
      <c r="Q54" s="2" t="s">
        <v>944</v>
      </c>
      <c r="R54" s="4"/>
    </row>
    <row r="55" spans="1:18" x14ac:dyDescent="0.35">
      <c r="A55" s="11" t="s">
        <v>945</v>
      </c>
      <c r="B55" s="12">
        <v>45040</v>
      </c>
      <c r="C55" s="11" t="s">
        <v>283</v>
      </c>
      <c r="D55" s="11" t="s">
        <v>97</v>
      </c>
      <c r="E55" s="11" t="s">
        <v>840</v>
      </c>
      <c r="F55" s="13" t="s">
        <v>841</v>
      </c>
      <c r="G55" s="11" t="s">
        <v>842</v>
      </c>
      <c r="H55" s="11" t="s">
        <v>816</v>
      </c>
      <c r="I55" s="14">
        <v>1762</v>
      </c>
      <c r="J55" s="14">
        <v>1749.6</v>
      </c>
      <c r="K55" s="14">
        <v>1668.6</v>
      </c>
      <c r="L55" s="23">
        <v>-93.4</v>
      </c>
      <c r="M55" s="24">
        <v>-5.2999999999999999E-2</v>
      </c>
      <c r="N55" s="40">
        <v>42</v>
      </c>
      <c r="O55" s="41">
        <v>70081.2</v>
      </c>
      <c r="P55" s="13" t="s">
        <v>837</v>
      </c>
      <c r="Q55" s="11" t="s">
        <v>946</v>
      </c>
      <c r="R55" s="13" t="s">
        <v>873</v>
      </c>
    </row>
    <row r="56" spans="1:18" x14ac:dyDescent="0.35">
      <c r="A56" s="2" t="s">
        <v>947</v>
      </c>
      <c r="B56" s="3">
        <v>45264</v>
      </c>
      <c r="C56" s="2" t="s">
        <v>238</v>
      </c>
      <c r="D56" s="2" t="s">
        <v>31</v>
      </c>
      <c r="E56" s="2" t="s">
        <v>851</v>
      </c>
      <c r="F56" s="4" t="s">
        <v>852</v>
      </c>
      <c r="G56" s="2" t="s">
        <v>853</v>
      </c>
      <c r="H56" s="2" t="s">
        <v>816</v>
      </c>
      <c r="I56" s="5">
        <v>1400.8</v>
      </c>
      <c r="J56" s="5">
        <v>1400.8</v>
      </c>
      <c r="K56" s="5">
        <v>1400.8</v>
      </c>
      <c r="L56" s="6">
        <v>0</v>
      </c>
      <c r="M56" s="7">
        <v>0</v>
      </c>
      <c r="N56" s="38">
        <v>18.5</v>
      </c>
      <c r="O56" s="39">
        <v>25914.799999999999</v>
      </c>
      <c r="P56" s="4" t="s">
        <v>817</v>
      </c>
      <c r="Q56" s="2" t="s">
        <v>948</v>
      </c>
      <c r="R56" s="4"/>
    </row>
    <row r="57" spans="1:18" x14ac:dyDescent="0.35">
      <c r="A57" s="11" t="s">
        <v>949</v>
      </c>
      <c r="B57" s="12">
        <v>44959</v>
      </c>
      <c r="C57" s="11" t="s">
        <v>204</v>
      </c>
      <c r="D57" s="11" t="s">
        <v>23</v>
      </c>
      <c r="E57" s="11" t="s">
        <v>823</v>
      </c>
      <c r="F57" s="13" t="s">
        <v>824</v>
      </c>
      <c r="G57" s="11" t="s">
        <v>808</v>
      </c>
      <c r="H57" s="11" t="s">
        <v>825</v>
      </c>
      <c r="I57" s="14">
        <v>1284.3</v>
      </c>
      <c r="J57" s="14">
        <v>1284.3</v>
      </c>
      <c r="K57" s="14">
        <v>1342.8</v>
      </c>
      <c r="L57" s="21">
        <v>58.5</v>
      </c>
      <c r="M57" s="22">
        <v>4.5600000000000002E-2</v>
      </c>
      <c r="N57" s="40">
        <v>6.2</v>
      </c>
      <c r="O57" s="41">
        <v>8325.36</v>
      </c>
      <c r="P57" s="13" t="s">
        <v>820</v>
      </c>
      <c r="Q57" s="11" t="s">
        <v>950</v>
      </c>
      <c r="R57" s="13" t="s">
        <v>873</v>
      </c>
    </row>
    <row r="58" spans="1:18" x14ac:dyDescent="0.35">
      <c r="A58" s="2" t="s">
        <v>951</v>
      </c>
      <c r="B58" s="3">
        <v>44964</v>
      </c>
      <c r="C58" s="2" t="s">
        <v>369</v>
      </c>
      <c r="D58" s="2" t="s">
        <v>31</v>
      </c>
      <c r="E58" s="2" t="s">
        <v>893</v>
      </c>
      <c r="F58" s="4" t="s">
        <v>894</v>
      </c>
      <c r="G58" s="2" t="s">
        <v>895</v>
      </c>
      <c r="H58" s="2" t="s">
        <v>816</v>
      </c>
      <c r="I58" s="5">
        <v>1066.4000000000001</v>
      </c>
      <c r="J58" s="5">
        <v>1066.4000000000001</v>
      </c>
      <c r="K58" s="5">
        <v>1101.5</v>
      </c>
      <c r="L58" s="21">
        <v>35.1</v>
      </c>
      <c r="M58" s="22">
        <v>3.2899999999999999E-2</v>
      </c>
      <c r="N58" s="38">
        <v>8.75</v>
      </c>
      <c r="O58" s="39">
        <v>9638.1200000000008</v>
      </c>
      <c r="P58" s="4" t="s">
        <v>810</v>
      </c>
      <c r="Q58" s="2" t="s">
        <v>952</v>
      </c>
      <c r="R58" s="4"/>
    </row>
    <row r="59" spans="1:18" x14ac:dyDescent="0.35">
      <c r="A59" s="11" t="s">
        <v>953</v>
      </c>
      <c r="B59" s="12">
        <v>45239</v>
      </c>
      <c r="C59" s="11" t="s">
        <v>371</v>
      </c>
      <c r="D59" s="11" t="s">
        <v>23</v>
      </c>
      <c r="E59" s="11" t="s">
        <v>832</v>
      </c>
      <c r="F59" s="13" t="s">
        <v>833</v>
      </c>
      <c r="G59" s="11" t="s">
        <v>808</v>
      </c>
      <c r="H59" s="11" t="s">
        <v>834</v>
      </c>
      <c r="I59" s="14">
        <v>1161</v>
      </c>
      <c r="J59" s="14">
        <v>1161</v>
      </c>
      <c r="K59" s="14">
        <v>1215.2</v>
      </c>
      <c r="L59" s="21">
        <v>54.2</v>
      </c>
      <c r="M59" s="22">
        <v>4.6699999999999998E-2</v>
      </c>
      <c r="N59" s="40">
        <v>0.12</v>
      </c>
      <c r="O59" s="41">
        <v>145.82</v>
      </c>
      <c r="P59" s="13" t="s">
        <v>826</v>
      </c>
      <c r="Q59" s="11" t="s">
        <v>954</v>
      </c>
      <c r="R59" s="13" t="s">
        <v>873</v>
      </c>
    </row>
    <row r="60" spans="1:18" x14ac:dyDescent="0.35">
      <c r="A60" s="2" t="s">
        <v>955</v>
      </c>
      <c r="B60" s="3">
        <v>45026</v>
      </c>
      <c r="C60" s="2" t="s">
        <v>391</v>
      </c>
      <c r="D60" s="2" t="s">
        <v>23</v>
      </c>
      <c r="E60" s="2" t="s">
        <v>840</v>
      </c>
      <c r="F60" s="4" t="s">
        <v>841</v>
      </c>
      <c r="G60" s="2" t="s">
        <v>842</v>
      </c>
      <c r="H60" s="2" t="s">
        <v>816</v>
      </c>
      <c r="I60" s="5">
        <v>1744.2</v>
      </c>
      <c r="J60" s="5">
        <v>1760</v>
      </c>
      <c r="K60" s="5">
        <v>1797.2</v>
      </c>
      <c r="L60" s="21">
        <v>53</v>
      </c>
      <c r="M60" s="22">
        <v>3.04E-2</v>
      </c>
      <c r="N60" s="38">
        <v>42</v>
      </c>
      <c r="O60" s="39">
        <v>75482.399999999994</v>
      </c>
      <c r="P60" s="4" t="s">
        <v>810</v>
      </c>
      <c r="Q60" s="2" t="s">
        <v>956</v>
      </c>
      <c r="R60" s="4"/>
    </row>
    <row r="61" spans="1:18" x14ac:dyDescent="0.35">
      <c r="A61" s="11" t="s">
        <v>957</v>
      </c>
      <c r="B61" s="12">
        <v>45220</v>
      </c>
      <c r="C61" s="11" t="s">
        <v>192</v>
      </c>
      <c r="D61" s="11" t="s">
        <v>31</v>
      </c>
      <c r="E61" s="11" t="s">
        <v>868</v>
      </c>
      <c r="F61" s="13" t="s">
        <v>869</v>
      </c>
      <c r="G61" s="11" t="s">
        <v>815</v>
      </c>
      <c r="H61" s="11" t="s">
        <v>816</v>
      </c>
      <c r="I61" s="14">
        <v>234.5</v>
      </c>
      <c r="J61" s="14">
        <v>234.5</v>
      </c>
      <c r="K61" s="14">
        <v>230</v>
      </c>
      <c r="L61" s="15">
        <v>-4.5</v>
      </c>
      <c r="M61" s="16">
        <v>-1.9199999999999998E-2</v>
      </c>
      <c r="N61" s="40">
        <v>0.48</v>
      </c>
      <c r="O61" s="41">
        <v>110.4</v>
      </c>
      <c r="P61" s="13" t="s">
        <v>817</v>
      </c>
      <c r="Q61" s="11" t="s">
        <v>958</v>
      </c>
      <c r="R61" s="13"/>
    </row>
    <row r="62" spans="1:18" x14ac:dyDescent="0.35">
      <c r="A62" s="2" t="s">
        <v>959</v>
      </c>
      <c r="B62" s="3">
        <v>45101</v>
      </c>
      <c r="C62" s="2" t="s">
        <v>190</v>
      </c>
      <c r="D62" s="2" t="s">
        <v>42</v>
      </c>
      <c r="E62" s="2" t="s">
        <v>823</v>
      </c>
      <c r="F62" s="4" t="s">
        <v>824</v>
      </c>
      <c r="G62" s="2" t="s">
        <v>808</v>
      </c>
      <c r="H62" s="2" t="s">
        <v>825</v>
      </c>
      <c r="I62" s="5">
        <v>639.79999999999995</v>
      </c>
      <c r="J62" s="5">
        <v>650.4</v>
      </c>
      <c r="K62" s="5">
        <v>650.4</v>
      </c>
      <c r="L62" s="6">
        <v>10.6</v>
      </c>
      <c r="M62" s="7">
        <v>1.66E-2</v>
      </c>
      <c r="N62" s="38">
        <v>6.2</v>
      </c>
      <c r="O62" s="39">
        <v>4032.48</v>
      </c>
      <c r="P62" s="4" t="s">
        <v>820</v>
      </c>
      <c r="Q62" s="2" t="s">
        <v>960</v>
      </c>
      <c r="R62" s="4"/>
    </row>
    <row r="63" spans="1:18" x14ac:dyDescent="0.35">
      <c r="A63" s="11" t="s">
        <v>961</v>
      </c>
      <c r="B63" s="12">
        <v>45007</v>
      </c>
      <c r="C63" s="11" t="s">
        <v>435</v>
      </c>
      <c r="D63" s="11" t="s">
        <v>42</v>
      </c>
      <c r="E63" s="11" t="s">
        <v>813</v>
      </c>
      <c r="F63" s="13" t="s">
        <v>814</v>
      </c>
      <c r="G63" s="11" t="s">
        <v>815</v>
      </c>
      <c r="H63" s="11" t="s">
        <v>816</v>
      </c>
      <c r="I63" s="14">
        <v>1528.9</v>
      </c>
      <c r="J63" s="14">
        <v>1528.9</v>
      </c>
      <c r="K63" s="14">
        <v>1502.2</v>
      </c>
      <c r="L63" s="15">
        <v>-26.7</v>
      </c>
      <c r="M63" s="16">
        <v>-1.7500000000000002E-2</v>
      </c>
      <c r="N63" s="40">
        <v>0.32</v>
      </c>
      <c r="O63" s="41">
        <v>480.7</v>
      </c>
      <c r="P63" s="13" t="s">
        <v>810</v>
      </c>
      <c r="Q63" s="11" t="s">
        <v>962</v>
      </c>
      <c r="R63" s="13"/>
    </row>
    <row r="64" spans="1:18" x14ac:dyDescent="0.35">
      <c r="A64" s="2" t="s">
        <v>963</v>
      </c>
      <c r="B64" s="3">
        <v>45156</v>
      </c>
      <c r="C64" s="2" t="s">
        <v>64</v>
      </c>
      <c r="D64" s="2" t="s">
        <v>97</v>
      </c>
      <c r="E64" s="2" t="s">
        <v>868</v>
      </c>
      <c r="F64" s="4" t="s">
        <v>869</v>
      </c>
      <c r="G64" s="2" t="s">
        <v>815</v>
      </c>
      <c r="H64" s="2" t="s">
        <v>816</v>
      </c>
      <c r="I64" s="5">
        <v>1101.4000000000001</v>
      </c>
      <c r="J64" s="5">
        <v>1101.4000000000001</v>
      </c>
      <c r="K64" s="5">
        <v>1106.3</v>
      </c>
      <c r="L64" s="6">
        <v>4.9000000000000004</v>
      </c>
      <c r="M64" s="7">
        <v>4.4000000000000003E-3</v>
      </c>
      <c r="N64" s="38">
        <v>0.48</v>
      </c>
      <c r="O64" s="39">
        <v>531.02</v>
      </c>
      <c r="P64" s="4" t="s">
        <v>826</v>
      </c>
      <c r="Q64" s="2" t="s">
        <v>964</v>
      </c>
      <c r="R64" s="4"/>
    </row>
    <row r="65" spans="1:18" x14ac:dyDescent="0.35">
      <c r="A65" s="11" t="s">
        <v>965</v>
      </c>
      <c r="B65" s="12">
        <v>45015</v>
      </c>
      <c r="C65" s="11" t="s">
        <v>277</v>
      </c>
      <c r="D65" s="11" t="s">
        <v>97</v>
      </c>
      <c r="E65" s="11" t="s">
        <v>806</v>
      </c>
      <c r="F65" s="13" t="s">
        <v>807</v>
      </c>
      <c r="G65" s="11" t="s">
        <v>808</v>
      </c>
      <c r="H65" s="11" t="s">
        <v>809</v>
      </c>
      <c r="I65" s="14">
        <v>366.5</v>
      </c>
      <c r="J65" s="14">
        <v>366.5</v>
      </c>
      <c r="K65" s="14">
        <v>366.5</v>
      </c>
      <c r="L65" s="15">
        <v>0</v>
      </c>
      <c r="M65" s="16">
        <v>0</v>
      </c>
      <c r="N65" s="40">
        <v>2E-3</v>
      </c>
      <c r="O65" s="41">
        <v>0.73</v>
      </c>
      <c r="P65" s="13" t="s">
        <v>829</v>
      </c>
      <c r="Q65" s="11" t="s">
        <v>966</v>
      </c>
      <c r="R65" s="13"/>
    </row>
    <row r="66" spans="1:18" x14ac:dyDescent="0.35">
      <c r="A66" s="2" t="s">
        <v>967</v>
      </c>
      <c r="B66" s="3">
        <v>45061</v>
      </c>
      <c r="C66" s="2" t="s">
        <v>291</v>
      </c>
      <c r="D66" s="2" t="s">
        <v>51</v>
      </c>
      <c r="E66" s="2" t="s">
        <v>806</v>
      </c>
      <c r="F66" s="4" t="s">
        <v>807</v>
      </c>
      <c r="G66" s="2" t="s">
        <v>808</v>
      </c>
      <c r="H66" s="2" t="s">
        <v>809</v>
      </c>
      <c r="I66" s="5">
        <v>997.1</v>
      </c>
      <c r="J66" s="5">
        <v>997.1</v>
      </c>
      <c r="K66" s="5">
        <v>997.1</v>
      </c>
      <c r="L66" s="6">
        <v>0</v>
      </c>
      <c r="M66" s="7">
        <v>0</v>
      </c>
      <c r="N66" s="38">
        <v>2E-3</v>
      </c>
      <c r="O66" s="39">
        <v>1.99</v>
      </c>
      <c r="P66" s="4" t="s">
        <v>820</v>
      </c>
      <c r="Q66" s="2" t="s">
        <v>968</v>
      </c>
      <c r="R66" s="4"/>
    </row>
    <row r="67" spans="1:18" x14ac:dyDescent="0.35">
      <c r="A67" s="11" t="s">
        <v>969</v>
      </c>
      <c r="B67" s="12">
        <v>45056</v>
      </c>
      <c r="C67" s="11" t="s">
        <v>363</v>
      </c>
      <c r="D67" s="11" t="s">
        <v>97</v>
      </c>
      <c r="E67" s="11" t="s">
        <v>823</v>
      </c>
      <c r="F67" s="13" t="s">
        <v>824</v>
      </c>
      <c r="G67" s="11" t="s">
        <v>808</v>
      </c>
      <c r="H67" s="11" t="s">
        <v>825</v>
      </c>
      <c r="I67" s="14">
        <v>1158.7</v>
      </c>
      <c r="J67" s="14">
        <v>1158.7</v>
      </c>
      <c r="K67" s="14">
        <v>1158.7</v>
      </c>
      <c r="L67" s="15">
        <v>0</v>
      </c>
      <c r="M67" s="16">
        <v>0</v>
      </c>
      <c r="N67" s="40">
        <v>6.2</v>
      </c>
      <c r="O67" s="41">
        <v>7183.94</v>
      </c>
      <c r="P67" s="13" t="s">
        <v>826</v>
      </c>
      <c r="Q67" s="11" t="s">
        <v>970</v>
      </c>
      <c r="R67" s="13"/>
    </row>
    <row r="68" spans="1:18" x14ac:dyDescent="0.35">
      <c r="A68" s="2" t="s">
        <v>971</v>
      </c>
      <c r="B68" s="3">
        <v>45066</v>
      </c>
      <c r="C68" s="2" t="s">
        <v>409</v>
      </c>
      <c r="D68" s="2" t="s">
        <v>31</v>
      </c>
      <c r="E68" s="2" t="s">
        <v>823</v>
      </c>
      <c r="F68" s="4" t="s">
        <v>824</v>
      </c>
      <c r="G68" s="2" t="s">
        <v>808</v>
      </c>
      <c r="H68" s="2" t="s">
        <v>825</v>
      </c>
      <c r="I68" s="5">
        <v>1585.1</v>
      </c>
      <c r="J68" s="5">
        <v>1608</v>
      </c>
      <c r="K68" s="5">
        <v>1608</v>
      </c>
      <c r="L68" s="6">
        <v>22.9</v>
      </c>
      <c r="M68" s="7">
        <v>1.44E-2</v>
      </c>
      <c r="N68" s="38">
        <v>6.2</v>
      </c>
      <c r="O68" s="39">
        <v>9969.6</v>
      </c>
      <c r="P68" s="4" t="s">
        <v>826</v>
      </c>
      <c r="Q68" s="2" t="s">
        <v>972</v>
      </c>
      <c r="R68" s="4"/>
    </row>
    <row r="69" spans="1:18" x14ac:dyDescent="0.35">
      <c r="A69" s="11" t="s">
        <v>973</v>
      </c>
      <c r="B69" s="12">
        <v>45115</v>
      </c>
      <c r="C69" s="11" t="s">
        <v>139</v>
      </c>
      <c r="D69" s="11" t="s">
        <v>42</v>
      </c>
      <c r="E69" s="11" t="s">
        <v>840</v>
      </c>
      <c r="F69" s="13" t="s">
        <v>841</v>
      </c>
      <c r="G69" s="11" t="s">
        <v>842</v>
      </c>
      <c r="H69" s="11" t="s">
        <v>816</v>
      </c>
      <c r="I69" s="14">
        <v>1675.4</v>
      </c>
      <c r="J69" s="14">
        <v>1675.4</v>
      </c>
      <c r="K69" s="14">
        <v>1675.4</v>
      </c>
      <c r="L69" s="15">
        <v>0</v>
      </c>
      <c r="M69" s="16">
        <v>0</v>
      </c>
      <c r="N69" s="40">
        <v>42</v>
      </c>
      <c r="O69" s="41">
        <v>70366.8</v>
      </c>
      <c r="P69" s="13" t="s">
        <v>826</v>
      </c>
      <c r="Q69" s="11" t="s">
        <v>974</v>
      </c>
      <c r="R69" s="13"/>
    </row>
    <row r="70" spans="1:18" x14ac:dyDescent="0.35">
      <c r="A70" s="2" t="s">
        <v>975</v>
      </c>
      <c r="B70" s="3">
        <v>45013</v>
      </c>
      <c r="C70" s="2" t="s">
        <v>423</v>
      </c>
      <c r="D70" s="2" t="s">
        <v>42</v>
      </c>
      <c r="E70" s="2" t="s">
        <v>851</v>
      </c>
      <c r="F70" s="4" t="s">
        <v>852</v>
      </c>
      <c r="G70" s="2" t="s">
        <v>853</v>
      </c>
      <c r="H70" s="2" t="s">
        <v>816</v>
      </c>
      <c r="I70" s="5">
        <v>1166.0999999999999</v>
      </c>
      <c r="J70" s="5">
        <v>1166.0999999999999</v>
      </c>
      <c r="K70" s="5">
        <v>1166.0999999999999</v>
      </c>
      <c r="L70" s="6">
        <v>0</v>
      </c>
      <c r="M70" s="7">
        <v>0</v>
      </c>
      <c r="N70" s="38">
        <v>18.5</v>
      </c>
      <c r="O70" s="39">
        <v>21572.85</v>
      </c>
      <c r="P70" s="4" t="s">
        <v>826</v>
      </c>
      <c r="Q70" s="2" t="s">
        <v>976</v>
      </c>
      <c r="R70" s="4"/>
    </row>
    <row r="71" spans="1:18" x14ac:dyDescent="0.35">
      <c r="A71" s="11" t="s">
        <v>977</v>
      </c>
      <c r="B71" s="12">
        <v>45219</v>
      </c>
      <c r="C71" s="11" t="s">
        <v>337</v>
      </c>
      <c r="D71" s="11" t="s">
        <v>31</v>
      </c>
      <c r="E71" s="11" t="s">
        <v>806</v>
      </c>
      <c r="F71" s="13" t="s">
        <v>807</v>
      </c>
      <c r="G71" s="11" t="s">
        <v>808</v>
      </c>
      <c r="H71" s="11" t="s">
        <v>809</v>
      </c>
      <c r="I71" s="14">
        <v>988.6</v>
      </c>
      <c r="J71" s="14">
        <v>988.6</v>
      </c>
      <c r="K71" s="14">
        <v>994.9</v>
      </c>
      <c r="L71" s="15">
        <v>6.3</v>
      </c>
      <c r="M71" s="16">
        <v>6.4000000000000003E-3</v>
      </c>
      <c r="N71" s="40">
        <v>2E-3</v>
      </c>
      <c r="O71" s="41">
        <v>1.99</v>
      </c>
      <c r="P71" s="13" t="s">
        <v>810</v>
      </c>
      <c r="Q71" s="11" t="s">
        <v>978</v>
      </c>
      <c r="R71" s="13"/>
    </row>
    <row r="72" spans="1:18" x14ac:dyDescent="0.35">
      <c r="A72" s="2" t="s">
        <v>979</v>
      </c>
      <c r="B72" s="3">
        <v>44928</v>
      </c>
      <c r="C72" s="2" t="s">
        <v>117</v>
      </c>
      <c r="D72" s="2" t="s">
        <v>51</v>
      </c>
      <c r="E72" s="2" t="s">
        <v>832</v>
      </c>
      <c r="F72" s="4" t="s">
        <v>833</v>
      </c>
      <c r="G72" s="2" t="s">
        <v>808</v>
      </c>
      <c r="H72" s="2" t="s">
        <v>834</v>
      </c>
      <c r="I72" s="5">
        <v>1331.5</v>
      </c>
      <c r="J72" s="5">
        <v>1331.5</v>
      </c>
      <c r="K72" s="5">
        <v>1331.5</v>
      </c>
      <c r="L72" s="6">
        <v>0</v>
      </c>
      <c r="M72" s="7">
        <v>0</v>
      </c>
      <c r="N72" s="38">
        <v>0.12</v>
      </c>
      <c r="O72" s="39">
        <v>159.78</v>
      </c>
      <c r="P72" s="4" t="s">
        <v>829</v>
      </c>
      <c r="Q72" s="2" t="s">
        <v>980</v>
      </c>
      <c r="R72" s="4"/>
    </row>
    <row r="73" spans="1:18" x14ac:dyDescent="0.35">
      <c r="A73" s="11" t="s">
        <v>981</v>
      </c>
      <c r="B73" s="12">
        <v>45216</v>
      </c>
      <c r="C73" s="11" t="s">
        <v>299</v>
      </c>
      <c r="D73" s="11" t="s">
        <v>97</v>
      </c>
      <c r="E73" s="11" t="s">
        <v>813</v>
      </c>
      <c r="F73" s="13" t="s">
        <v>814</v>
      </c>
      <c r="G73" s="11" t="s">
        <v>815</v>
      </c>
      <c r="H73" s="11" t="s">
        <v>816</v>
      </c>
      <c r="I73" s="14">
        <v>287.3</v>
      </c>
      <c r="J73" s="14">
        <v>290.60000000000002</v>
      </c>
      <c r="K73" s="14">
        <v>290.60000000000002</v>
      </c>
      <c r="L73" s="15">
        <v>3.3</v>
      </c>
      <c r="M73" s="16">
        <v>1.15E-2</v>
      </c>
      <c r="N73" s="40">
        <v>0.32</v>
      </c>
      <c r="O73" s="41">
        <v>92.99</v>
      </c>
      <c r="P73" s="13" t="s">
        <v>810</v>
      </c>
      <c r="Q73" s="11" t="s">
        <v>982</v>
      </c>
      <c r="R73" s="13"/>
    </row>
    <row r="74" spans="1:18" x14ac:dyDescent="0.35">
      <c r="A74" s="2" t="s">
        <v>983</v>
      </c>
      <c r="B74" s="3">
        <v>45047</v>
      </c>
      <c r="C74" s="2" t="s">
        <v>357</v>
      </c>
      <c r="D74" s="2" t="s">
        <v>23</v>
      </c>
      <c r="E74" s="2" t="s">
        <v>868</v>
      </c>
      <c r="F74" s="4" t="s">
        <v>869</v>
      </c>
      <c r="G74" s="2" t="s">
        <v>815</v>
      </c>
      <c r="H74" s="2" t="s">
        <v>816</v>
      </c>
      <c r="I74" s="5">
        <v>1040.5</v>
      </c>
      <c r="J74" s="5">
        <v>1040.5</v>
      </c>
      <c r="K74" s="5">
        <v>1040.5</v>
      </c>
      <c r="L74" s="6">
        <v>0</v>
      </c>
      <c r="M74" s="7">
        <v>0</v>
      </c>
      <c r="N74" s="38">
        <v>0.48</v>
      </c>
      <c r="O74" s="39">
        <v>499.44</v>
      </c>
      <c r="P74" s="4" t="s">
        <v>820</v>
      </c>
      <c r="Q74" s="2" t="s">
        <v>984</v>
      </c>
      <c r="R74" s="4"/>
    </row>
    <row r="75" spans="1:18" x14ac:dyDescent="0.35">
      <c r="A75" s="11" t="s">
        <v>985</v>
      </c>
      <c r="B75" s="12">
        <v>45053</v>
      </c>
      <c r="C75" s="11" t="s">
        <v>104</v>
      </c>
      <c r="D75" s="11" t="s">
        <v>97</v>
      </c>
      <c r="E75" s="11" t="s">
        <v>893</v>
      </c>
      <c r="F75" s="13" t="s">
        <v>894</v>
      </c>
      <c r="G75" s="11" t="s">
        <v>895</v>
      </c>
      <c r="H75" s="11" t="s">
        <v>816</v>
      </c>
      <c r="I75" s="14">
        <v>270.8</v>
      </c>
      <c r="J75" s="14">
        <v>270.8</v>
      </c>
      <c r="K75" s="14">
        <v>283.8</v>
      </c>
      <c r="L75" s="21">
        <v>13</v>
      </c>
      <c r="M75" s="22">
        <v>4.8000000000000001E-2</v>
      </c>
      <c r="N75" s="40">
        <v>8.75</v>
      </c>
      <c r="O75" s="41">
        <v>2483.25</v>
      </c>
      <c r="P75" s="13" t="s">
        <v>817</v>
      </c>
      <c r="Q75" s="11" t="s">
        <v>986</v>
      </c>
      <c r="R75" s="13" t="s">
        <v>873</v>
      </c>
    </row>
    <row r="76" spans="1:18" x14ac:dyDescent="0.35">
      <c r="A76" s="2" t="s">
        <v>987</v>
      </c>
      <c r="B76" s="3">
        <v>45172</v>
      </c>
      <c r="C76" s="2" t="s">
        <v>299</v>
      </c>
      <c r="D76" s="2" t="s">
        <v>42</v>
      </c>
      <c r="E76" s="2" t="s">
        <v>840</v>
      </c>
      <c r="F76" s="4" t="s">
        <v>841</v>
      </c>
      <c r="G76" s="2" t="s">
        <v>842</v>
      </c>
      <c r="H76" s="2" t="s">
        <v>816</v>
      </c>
      <c r="I76" s="5">
        <v>1634.4</v>
      </c>
      <c r="J76" s="5">
        <v>1634.4</v>
      </c>
      <c r="K76" s="5">
        <v>1679.1</v>
      </c>
      <c r="L76" s="21">
        <v>44.7</v>
      </c>
      <c r="M76" s="22">
        <v>2.7300000000000001E-2</v>
      </c>
      <c r="N76" s="38">
        <v>42</v>
      </c>
      <c r="O76" s="39">
        <v>70522.2</v>
      </c>
      <c r="P76" s="4" t="s">
        <v>817</v>
      </c>
      <c r="Q76" s="2" t="s">
        <v>988</v>
      </c>
      <c r="R76" s="4"/>
    </row>
    <row r="77" spans="1:18" x14ac:dyDescent="0.35">
      <c r="A77" s="11" t="s">
        <v>989</v>
      </c>
      <c r="B77" s="12">
        <v>45164</v>
      </c>
      <c r="C77" s="11" t="s">
        <v>232</v>
      </c>
      <c r="D77" s="11" t="s">
        <v>31</v>
      </c>
      <c r="E77" s="11" t="s">
        <v>832</v>
      </c>
      <c r="F77" s="13" t="s">
        <v>833</v>
      </c>
      <c r="G77" s="11" t="s">
        <v>808</v>
      </c>
      <c r="H77" s="11" t="s">
        <v>834</v>
      </c>
      <c r="I77" s="14">
        <v>962.1</v>
      </c>
      <c r="J77" s="14">
        <v>962.1</v>
      </c>
      <c r="K77" s="14">
        <v>962.1</v>
      </c>
      <c r="L77" s="15">
        <v>0</v>
      </c>
      <c r="M77" s="16">
        <v>0</v>
      </c>
      <c r="N77" s="40">
        <v>0.12</v>
      </c>
      <c r="O77" s="41">
        <v>115.45</v>
      </c>
      <c r="P77" s="13" t="s">
        <v>829</v>
      </c>
      <c r="Q77" s="11" t="s">
        <v>990</v>
      </c>
      <c r="R77" s="13"/>
    </row>
    <row r="78" spans="1:18" x14ac:dyDescent="0.35">
      <c r="A78" s="2" t="s">
        <v>991</v>
      </c>
      <c r="B78" s="3">
        <v>45240</v>
      </c>
      <c r="C78" s="2" t="s">
        <v>77</v>
      </c>
      <c r="D78" s="2" t="s">
        <v>97</v>
      </c>
      <c r="E78" s="2" t="s">
        <v>813</v>
      </c>
      <c r="F78" s="4" t="s">
        <v>814</v>
      </c>
      <c r="G78" s="2" t="s">
        <v>815</v>
      </c>
      <c r="H78" s="2" t="s">
        <v>816</v>
      </c>
      <c r="I78" s="5">
        <v>1565.3</v>
      </c>
      <c r="J78" s="5">
        <v>1547</v>
      </c>
      <c r="K78" s="5">
        <v>1554.9</v>
      </c>
      <c r="L78" s="6">
        <v>-10.4</v>
      </c>
      <c r="M78" s="7">
        <v>-6.6E-3</v>
      </c>
      <c r="N78" s="38">
        <v>0.32</v>
      </c>
      <c r="O78" s="39">
        <v>497.57</v>
      </c>
      <c r="P78" s="4" t="s">
        <v>810</v>
      </c>
      <c r="Q78" s="2" t="s">
        <v>992</v>
      </c>
      <c r="R78" s="4"/>
    </row>
    <row r="79" spans="1:18" x14ac:dyDescent="0.35">
      <c r="A79" s="11" t="s">
        <v>993</v>
      </c>
      <c r="B79" s="12">
        <v>44994</v>
      </c>
      <c r="C79" s="11" t="s">
        <v>289</v>
      </c>
      <c r="D79" s="11" t="s">
        <v>51</v>
      </c>
      <c r="E79" s="11" t="s">
        <v>806</v>
      </c>
      <c r="F79" s="13" t="s">
        <v>807</v>
      </c>
      <c r="G79" s="11" t="s">
        <v>808</v>
      </c>
      <c r="H79" s="11" t="s">
        <v>809</v>
      </c>
      <c r="I79" s="14">
        <v>1583.1</v>
      </c>
      <c r="J79" s="14">
        <v>1583.1</v>
      </c>
      <c r="K79" s="14">
        <v>1583.1</v>
      </c>
      <c r="L79" s="15">
        <v>0</v>
      </c>
      <c r="M79" s="16">
        <v>0</v>
      </c>
      <c r="N79" s="40">
        <v>2E-3</v>
      </c>
      <c r="O79" s="41">
        <v>3.17</v>
      </c>
      <c r="P79" s="13" t="s">
        <v>837</v>
      </c>
      <c r="Q79" s="11" t="s">
        <v>994</v>
      </c>
      <c r="R79" s="13"/>
    </row>
    <row r="80" spans="1:18" x14ac:dyDescent="0.35">
      <c r="A80" s="2" t="s">
        <v>995</v>
      </c>
      <c r="B80" s="3">
        <v>45122</v>
      </c>
      <c r="C80" s="2" t="s">
        <v>190</v>
      </c>
      <c r="D80" s="2" t="s">
        <v>97</v>
      </c>
      <c r="E80" s="2" t="s">
        <v>806</v>
      </c>
      <c r="F80" s="4" t="s">
        <v>807</v>
      </c>
      <c r="G80" s="2" t="s">
        <v>808</v>
      </c>
      <c r="H80" s="2" t="s">
        <v>809</v>
      </c>
      <c r="I80" s="5">
        <v>385</v>
      </c>
      <c r="J80" s="5">
        <v>385</v>
      </c>
      <c r="K80" s="5">
        <v>385</v>
      </c>
      <c r="L80" s="6">
        <v>0</v>
      </c>
      <c r="M80" s="7">
        <v>0</v>
      </c>
      <c r="N80" s="38">
        <v>2E-3</v>
      </c>
      <c r="O80" s="39">
        <v>0.77</v>
      </c>
      <c r="P80" s="4" t="s">
        <v>810</v>
      </c>
      <c r="Q80" s="2" t="s">
        <v>996</v>
      </c>
      <c r="R80" s="4"/>
    </row>
    <row r="81" spans="1:18" x14ac:dyDescent="0.35">
      <c r="A81" s="11" t="s">
        <v>997</v>
      </c>
      <c r="B81" s="12">
        <v>45099</v>
      </c>
      <c r="C81" s="11" t="s">
        <v>194</v>
      </c>
      <c r="D81" s="11" t="s">
        <v>97</v>
      </c>
      <c r="E81" s="11" t="s">
        <v>868</v>
      </c>
      <c r="F81" s="13" t="s">
        <v>869</v>
      </c>
      <c r="G81" s="11" t="s">
        <v>815</v>
      </c>
      <c r="H81" s="11" t="s">
        <v>816</v>
      </c>
      <c r="I81" s="14">
        <v>1076.2</v>
      </c>
      <c r="J81" s="14">
        <v>1076.2</v>
      </c>
      <c r="K81" s="14">
        <v>1076.2</v>
      </c>
      <c r="L81" s="15">
        <v>0</v>
      </c>
      <c r="M81" s="16">
        <v>0</v>
      </c>
      <c r="N81" s="40">
        <v>0.48</v>
      </c>
      <c r="O81" s="41">
        <v>516.58000000000004</v>
      </c>
      <c r="P81" s="13" t="s">
        <v>837</v>
      </c>
      <c r="Q81" s="11" t="s">
        <v>998</v>
      </c>
      <c r="R81" s="13"/>
    </row>
    <row r="82" spans="1:18" x14ac:dyDescent="0.35">
      <c r="A82" s="2" t="s">
        <v>999</v>
      </c>
      <c r="B82" s="3">
        <v>45203</v>
      </c>
      <c r="C82" s="2" t="s">
        <v>315</v>
      </c>
      <c r="D82" s="2" t="s">
        <v>31</v>
      </c>
      <c r="E82" s="2" t="s">
        <v>851</v>
      </c>
      <c r="F82" s="4" t="s">
        <v>852</v>
      </c>
      <c r="G82" s="2" t="s">
        <v>853</v>
      </c>
      <c r="H82" s="2" t="s">
        <v>816</v>
      </c>
      <c r="I82" s="5">
        <v>447.6</v>
      </c>
      <c r="J82" s="5">
        <v>447.6</v>
      </c>
      <c r="K82" s="5">
        <v>448.5</v>
      </c>
      <c r="L82" s="6">
        <v>0.9</v>
      </c>
      <c r="M82" s="7">
        <v>2E-3</v>
      </c>
      <c r="N82" s="38">
        <v>18.5</v>
      </c>
      <c r="O82" s="39">
        <v>8297.25</v>
      </c>
      <c r="P82" s="4" t="s">
        <v>826</v>
      </c>
      <c r="Q82" s="2" t="s">
        <v>1000</v>
      </c>
      <c r="R82" s="4"/>
    </row>
    <row r="83" spans="1:18" x14ac:dyDescent="0.35">
      <c r="A83" s="11" t="s">
        <v>1001</v>
      </c>
      <c r="B83" s="12">
        <v>45234</v>
      </c>
      <c r="C83" s="11" t="s">
        <v>162</v>
      </c>
      <c r="D83" s="11" t="s">
        <v>97</v>
      </c>
      <c r="E83" s="11" t="s">
        <v>868</v>
      </c>
      <c r="F83" s="13" t="s">
        <v>869</v>
      </c>
      <c r="G83" s="11" t="s">
        <v>815</v>
      </c>
      <c r="H83" s="11" t="s">
        <v>816</v>
      </c>
      <c r="I83" s="14">
        <v>1571.2</v>
      </c>
      <c r="J83" s="14">
        <v>1571.2</v>
      </c>
      <c r="K83" s="14">
        <v>1571.2</v>
      </c>
      <c r="L83" s="15">
        <v>0</v>
      </c>
      <c r="M83" s="16">
        <v>0</v>
      </c>
      <c r="N83" s="40">
        <v>0.48</v>
      </c>
      <c r="O83" s="41">
        <v>754.18</v>
      </c>
      <c r="P83" s="13" t="s">
        <v>837</v>
      </c>
      <c r="Q83" s="11" t="s">
        <v>1002</v>
      </c>
      <c r="R83" s="13"/>
    </row>
    <row r="84" spans="1:18" x14ac:dyDescent="0.35">
      <c r="A84" s="2" t="s">
        <v>1003</v>
      </c>
      <c r="B84" s="3">
        <v>45237</v>
      </c>
      <c r="C84" s="2" t="s">
        <v>79</v>
      </c>
      <c r="D84" s="2" t="s">
        <v>42</v>
      </c>
      <c r="E84" s="2" t="s">
        <v>832</v>
      </c>
      <c r="F84" s="4" t="s">
        <v>833</v>
      </c>
      <c r="G84" s="2" t="s">
        <v>808</v>
      </c>
      <c r="H84" s="2" t="s">
        <v>834</v>
      </c>
      <c r="I84" s="5">
        <v>1378.1</v>
      </c>
      <c r="J84" s="5">
        <v>1378.1</v>
      </c>
      <c r="K84" s="5">
        <v>1378.1</v>
      </c>
      <c r="L84" s="6">
        <v>0</v>
      </c>
      <c r="M84" s="7">
        <v>0</v>
      </c>
      <c r="N84" s="38">
        <v>0.12</v>
      </c>
      <c r="O84" s="39">
        <v>165.37</v>
      </c>
      <c r="P84" s="4" t="s">
        <v>829</v>
      </c>
      <c r="Q84" s="2" t="s">
        <v>1004</v>
      </c>
      <c r="R84" s="4"/>
    </row>
    <row r="85" spans="1:18" x14ac:dyDescent="0.35">
      <c r="A85" s="11" t="s">
        <v>1005</v>
      </c>
      <c r="B85" s="12">
        <v>45264</v>
      </c>
      <c r="C85" s="11" t="s">
        <v>186</v>
      </c>
      <c r="D85" s="11" t="s">
        <v>31</v>
      </c>
      <c r="E85" s="11" t="s">
        <v>845</v>
      </c>
      <c r="F85" s="13" t="s">
        <v>846</v>
      </c>
      <c r="G85" s="11" t="s">
        <v>815</v>
      </c>
      <c r="H85" s="11" t="s">
        <v>816</v>
      </c>
      <c r="I85" s="14">
        <v>1427.4</v>
      </c>
      <c r="J85" s="14">
        <v>1427.4</v>
      </c>
      <c r="K85" s="14">
        <v>1427.4</v>
      </c>
      <c r="L85" s="15">
        <v>0</v>
      </c>
      <c r="M85" s="16">
        <v>0</v>
      </c>
      <c r="N85" s="40">
        <v>0.65</v>
      </c>
      <c r="O85" s="41">
        <v>927.81</v>
      </c>
      <c r="P85" s="13" t="s">
        <v>837</v>
      </c>
      <c r="Q85" s="11" t="s">
        <v>1006</v>
      </c>
      <c r="R85" s="13"/>
    </row>
    <row r="86" spans="1:18" x14ac:dyDescent="0.35">
      <c r="A86" s="2" t="s">
        <v>1007</v>
      </c>
      <c r="B86" s="3">
        <v>44929</v>
      </c>
      <c r="C86" s="2" t="s">
        <v>186</v>
      </c>
      <c r="D86" s="2" t="s">
        <v>31</v>
      </c>
      <c r="E86" s="2" t="s">
        <v>840</v>
      </c>
      <c r="F86" s="4" t="s">
        <v>841</v>
      </c>
      <c r="G86" s="2" t="s">
        <v>842</v>
      </c>
      <c r="H86" s="2" t="s">
        <v>816</v>
      </c>
      <c r="I86" s="5">
        <v>145</v>
      </c>
      <c r="J86" s="5">
        <v>143.1</v>
      </c>
      <c r="K86" s="5">
        <v>143.1</v>
      </c>
      <c r="L86" s="6">
        <v>-1.9</v>
      </c>
      <c r="M86" s="7">
        <v>-1.3100000000000001E-2</v>
      </c>
      <c r="N86" s="38">
        <v>42</v>
      </c>
      <c r="O86" s="39">
        <v>6010.2</v>
      </c>
      <c r="P86" s="4" t="s">
        <v>829</v>
      </c>
      <c r="Q86" s="2" t="s">
        <v>1008</v>
      </c>
      <c r="R86" s="4"/>
    </row>
    <row r="87" spans="1:18" x14ac:dyDescent="0.35">
      <c r="A87" s="11" t="s">
        <v>1009</v>
      </c>
      <c r="B87" s="12">
        <v>45028</v>
      </c>
      <c r="C87" s="11" t="s">
        <v>152</v>
      </c>
      <c r="D87" s="11" t="s">
        <v>42</v>
      </c>
      <c r="E87" s="11" t="s">
        <v>813</v>
      </c>
      <c r="F87" s="13" t="s">
        <v>814</v>
      </c>
      <c r="G87" s="11" t="s">
        <v>815</v>
      </c>
      <c r="H87" s="11" t="s">
        <v>816</v>
      </c>
      <c r="I87" s="14">
        <v>1573.7</v>
      </c>
      <c r="J87" s="14">
        <v>1573.7</v>
      </c>
      <c r="K87" s="14">
        <v>1573.7</v>
      </c>
      <c r="L87" s="15">
        <v>0</v>
      </c>
      <c r="M87" s="16">
        <v>0</v>
      </c>
      <c r="N87" s="40">
        <v>0.32</v>
      </c>
      <c r="O87" s="41">
        <v>503.58</v>
      </c>
      <c r="P87" s="13" t="s">
        <v>837</v>
      </c>
      <c r="Q87" s="11" t="s">
        <v>1010</v>
      </c>
      <c r="R87" s="13"/>
    </row>
    <row r="88" spans="1:18" x14ac:dyDescent="0.35">
      <c r="A88" s="2" t="s">
        <v>1011</v>
      </c>
      <c r="B88" s="3">
        <v>44957</v>
      </c>
      <c r="C88" s="2" t="s">
        <v>214</v>
      </c>
      <c r="D88" s="2" t="s">
        <v>97</v>
      </c>
      <c r="E88" s="2" t="s">
        <v>845</v>
      </c>
      <c r="F88" s="4" t="s">
        <v>846</v>
      </c>
      <c r="G88" s="2" t="s">
        <v>815</v>
      </c>
      <c r="H88" s="2" t="s">
        <v>816</v>
      </c>
      <c r="I88" s="5">
        <v>1250.5999999999999</v>
      </c>
      <c r="J88" s="5">
        <v>1283.3</v>
      </c>
      <c r="K88" s="5">
        <v>1283.3</v>
      </c>
      <c r="L88" s="21">
        <v>32.700000000000003</v>
      </c>
      <c r="M88" s="22">
        <v>2.6100000000000002E-2</v>
      </c>
      <c r="N88" s="38">
        <v>0.65</v>
      </c>
      <c r="O88" s="39">
        <v>834.14</v>
      </c>
      <c r="P88" s="4" t="s">
        <v>820</v>
      </c>
      <c r="Q88" s="2" t="s">
        <v>1012</v>
      </c>
      <c r="R88" s="4"/>
    </row>
    <row r="89" spans="1:18" x14ac:dyDescent="0.35">
      <c r="A89" s="11" t="s">
        <v>1013</v>
      </c>
      <c r="B89" s="12">
        <v>45089</v>
      </c>
      <c r="C89" s="11" t="s">
        <v>222</v>
      </c>
      <c r="D89" s="11" t="s">
        <v>31</v>
      </c>
      <c r="E89" s="11" t="s">
        <v>823</v>
      </c>
      <c r="F89" s="13" t="s">
        <v>824</v>
      </c>
      <c r="G89" s="11" t="s">
        <v>808</v>
      </c>
      <c r="H89" s="11" t="s">
        <v>825</v>
      </c>
      <c r="I89" s="14">
        <v>792.7</v>
      </c>
      <c r="J89" s="14">
        <v>795.1</v>
      </c>
      <c r="K89" s="14">
        <v>795.1</v>
      </c>
      <c r="L89" s="15">
        <v>2.4</v>
      </c>
      <c r="M89" s="16">
        <v>3.0000000000000001E-3</v>
      </c>
      <c r="N89" s="40">
        <v>6.2</v>
      </c>
      <c r="O89" s="41">
        <v>4929.62</v>
      </c>
      <c r="P89" s="13" t="s">
        <v>826</v>
      </c>
      <c r="Q89" s="11" t="s">
        <v>1014</v>
      </c>
      <c r="R89" s="13"/>
    </row>
    <row r="90" spans="1:18" x14ac:dyDescent="0.35">
      <c r="A90" s="2" t="s">
        <v>1015</v>
      </c>
      <c r="B90" s="3">
        <v>45185</v>
      </c>
      <c r="C90" s="2" t="s">
        <v>206</v>
      </c>
      <c r="D90" s="2" t="s">
        <v>42</v>
      </c>
      <c r="E90" s="2" t="s">
        <v>851</v>
      </c>
      <c r="F90" s="4" t="s">
        <v>852</v>
      </c>
      <c r="G90" s="2" t="s">
        <v>853</v>
      </c>
      <c r="H90" s="2" t="s">
        <v>816</v>
      </c>
      <c r="I90" s="5">
        <v>1296.9000000000001</v>
      </c>
      <c r="J90" s="5">
        <v>1296.9000000000001</v>
      </c>
      <c r="K90" s="5">
        <v>1260.5999999999999</v>
      </c>
      <c r="L90" s="21">
        <v>-36.299999999999997</v>
      </c>
      <c r="M90" s="22">
        <v>-2.8000000000000001E-2</v>
      </c>
      <c r="N90" s="38">
        <v>18.5</v>
      </c>
      <c r="O90" s="39">
        <v>23321.1</v>
      </c>
      <c r="P90" s="4" t="s">
        <v>829</v>
      </c>
      <c r="Q90" s="2" t="s">
        <v>1016</v>
      </c>
      <c r="R90" s="4"/>
    </row>
    <row r="91" spans="1:18" x14ac:dyDescent="0.35">
      <c r="A91" s="11" t="s">
        <v>1017</v>
      </c>
      <c r="B91" s="12">
        <v>45021</v>
      </c>
      <c r="C91" s="11" t="s">
        <v>369</v>
      </c>
      <c r="D91" s="11" t="s">
        <v>23</v>
      </c>
      <c r="E91" s="11" t="s">
        <v>868</v>
      </c>
      <c r="F91" s="13" t="s">
        <v>869</v>
      </c>
      <c r="G91" s="11" t="s">
        <v>815</v>
      </c>
      <c r="H91" s="11" t="s">
        <v>816</v>
      </c>
      <c r="I91" s="14">
        <v>1057.5</v>
      </c>
      <c r="J91" s="14">
        <v>1057.5</v>
      </c>
      <c r="K91" s="14">
        <v>1057.5</v>
      </c>
      <c r="L91" s="15">
        <v>0</v>
      </c>
      <c r="M91" s="16">
        <v>0</v>
      </c>
      <c r="N91" s="40">
        <v>0.48</v>
      </c>
      <c r="O91" s="41">
        <v>507.6</v>
      </c>
      <c r="P91" s="13" t="s">
        <v>817</v>
      </c>
      <c r="Q91" s="11" t="s">
        <v>1018</v>
      </c>
      <c r="R91" s="13"/>
    </row>
    <row r="92" spans="1:18" x14ac:dyDescent="0.35">
      <c r="A92" s="2" t="s">
        <v>1019</v>
      </c>
      <c r="B92" s="3">
        <v>45108</v>
      </c>
      <c r="C92" s="2" t="s">
        <v>226</v>
      </c>
      <c r="D92" s="2" t="s">
        <v>51</v>
      </c>
      <c r="E92" s="2" t="s">
        <v>845</v>
      </c>
      <c r="F92" s="4" t="s">
        <v>846</v>
      </c>
      <c r="G92" s="2" t="s">
        <v>815</v>
      </c>
      <c r="H92" s="2" t="s">
        <v>816</v>
      </c>
      <c r="I92" s="5">
        <v>542.4</v>
      </c>
      <c r="J92" s="5">
        <v>542.4</v>
      </c>
      <c r="K92" s="5">
        <v>542.4</v>
      </c>
      <c r="L92" s="6">
        <v>0</v>
      </c>
      <c r="M92" s="7">
        <v>0</v>
      </c>
      <c r="N92" s="38">
        <v>0.65</v>
      </c>
      <c r="O92" s="39">
        <v>352.56</v>
      </c>
      <c r="P92" s="4" t="s">
        <v>820</v>
      </c>
      <c r="Q92" s="2" t="s">
        <v>1020</v>
      </c>
      <c r="R92" s="4"/>
    </row>
    <row r="93" spans="1:18" x14ac:dyDescent="0.35">
      <c r="A93" s="11" t="s">
        <v>1021</v>
      </c>
      <c r="B93" s="12">
        <v>45043</v>
      </c>
      <c r="C93" s="11" t="s">
        <v>433</v>
      </c>
      <c r="D93" s="11" t="s">
        <v>51</v>
      </c>
      <c r="E93" s="11" t="s">
        <v>813</v>
      </c>
      <c r="F93" s="13" t="s">
        <v>814</v>
      </c>
      <c r="G93" s="11" t="s">
        <v>815</v>
      </c>
      <c r="H93" s="11" t="s">
        <v>816</v>
      </c>
      <c r="I93" s="14">
        <v>571.6</v>
      </c>
      <c r="J93" s="14">
        <v>568.29999999999995</v>
      </c>
      <c r="K93" s="14">
        <v>568.29999999999995</v>
      </c>
      <c r="L93" s="15">
        <v>-3.3</v>
      </c>
      <c r="M93" s="16">
        <v>-5.7999999999999996E-3</v>
      </c>
      <c r="N93" s="40">
        <v>0.32</v>
      </c>
      <c r="O93" s="41">
        <v>181.86</v>
      </c>
      <c r="P93" s="13" t="s">
        <v>829</v>
      </c>
      <c r="Q93" s="11" t="s">
        <v>1022</v>
      </c>
      <c r="R93" s="13"/>
    </row>
    <row r="94" spans="1:18" x14ac:dyDescent="0.35">
      <c r="A94" s="2" t="s">
        <v>1023</v>
      </c>
      <c r="B94" s="3">
        <v>44994</v>
      </c>
      <c r="C94" s="2" t="s">
        <v>375</v>
      </c>
      <c r="D94" s="2" t="s">
        <v>51</v>
      </c>
      <c r="E94" s="2" t="s">
        <v>806</v>
      </c>
      <c r="F94" s="4" t="s">
        <v>807</v>
      </c>
      <c r="G94" s="2" t="s">
        <v>808</v>
      </c>
      <c r="H94" s="2" t="s">
        <v>809</v>
      </c>
      <c r="I94" s="5">
        <v>1532.8</v>
      </c>
      <c r="J94" s="5">
        <v>1523.8</v>
      </c>
      <c r="K94" s="5">
        <v>1523.8</v>
      </c>
      <c r="L94" s="6">
        <v>-9</v>
      </c>
      <c r="M94" s="7">
        <v>-5.8999999999999999E-3</v>
      </c>
      <c r="N94" s="38">
        <v>2E-3</v>
      </c>
      <c r="O94" s="39">
        <v>3.05</v>
      </c>
      <c r="P94" s="4" t="s">
        <v>820</v>
      </c>
      <c r="Q94" s="2" t="s">
        <v>1024</v>
      </c>
      <c r="R94" s="4"/>
    </row>
    <row r="95" spans="1:18" x14ac:dyDescent="0.35">
      <c r="A95" s="11" t="s">
        <v>1025</v>
      </c>
      <c r="B95" s="12">
        <v>45155</v>
      </c>
      <c r="C95" s="11" t="s">
        <v>263</v>
      </c>
      <c r="D95" s="11" t="s">
        <v>31</v>
      </c>
      <c r="E95" s="11" t="s">
        <v>851</v>
      </c>
      <c r="F95" s="13" t="s">
        <v>852</v>
      </c>
      <c r="G95" s="11" t="s">
        <v>853</v>
      </c>
      <c r="H95" s="11" t="s">
        <v>816</v>
      </c>
      <c r="I95" s="14">
        <v>830.1</v>
      </c>
      <c r="J95" s="14">
        <v>830.1</v>
      </c>
      <c r="K95" s="14">
        <v>830.1</v>
      </c>
      <c r="L95" s="15">
        <v>0</v>
      </c>
      <c r="M95" s="16">
        <v>0</v>
      </c>
      <c r="N95" s="40">
        <v>18.5</v>
      </c>
      <c r="O95" s="41">
        <v>15356.85</v>
      </c>
      <c r="P95" s="13" t="s">
        <v>829</v>
      </c>
      <c r="Q95" s="11" t="s">
        <v>1026</v>
      </c>
      <c r="R95" s="13"/>
    </row>
    <row r="96" spans="1:18" x14ac:dyDescent="0.35">
      <c r="A96" s="2" t="s">
        <v>1027</v>
      </c>
      <c r="B96" s="3">
        <v>45150</v>
      </c>
      <c r="C96" s="2" t="s">
        <v>83</v>
      </c>
      <c r="D96" s="2" t="s">
        <v>23</v>
      </c>
      <c r="E96" s="2" t="s">
        <v>851</v>
      </c>
      <c r="F96" s="4" t="s">
        <v>852</v>
      </c>
      <c r="G96" s="2" t="s">
        <v>853</v>
      </c>
      <c r="H96" s="2" t="s">
        <v>816</v>
      </c>
      <c r="I96" s="5">
        <v>1334.5</v>
      </c>
      <c r="J96" s="5">
        <v>1334.5</v>
      </c>
      <c r="K96" s="5">
        <v>1358.7</v>
      </c>
      <c r="L96" s="6">
        <v>24.2</v>
      </c>
      <c r="M96" s="7">
        <v>1.8100000000000002E-2</v>
      </c>
      <c r="N96" s="38">
        <v>18.5</v>
      </c>
      <c r="O96" s="39">
        <v>25135.95</v>
      </c>
      <c r="P96" s="4" t="s">
        <v>820</v>
      </c>
      <c r="Q96" s="2" t="s">
        <v>1028</v>
      </c>
      <c r="R96" s="4"/>
    </row>
    <row r="97" spans="1:18" x14ac:dyDescent="0.35">
      <c r="A97" s="11" t="s">
        <v>1029</v>
      </c>
      <c r="B97" s="12">
        <v>45113</v>
      </c>
      <c r="C97" s="11" t="s">
        <v>62</v>
      </c>
      <c r="D97" s="11" t="s">
        <v>51</v>
      </c>
      <c r="E97" s="11" t="s">
        <v>806</v>
      </c>
      <c r="F97" s="13" t="s">
        <v>807</v>
      </c>
      <c r="G97" s="11" t="s">
        <v>808</v>
      </c>
      <c r="H97" s="11" t="s">
        <v>809</v>
      </c>
      <c r="I97" s="14">
        <v>711.6</v>
      </c>
      <c r="J97" s="14">
        <v>711.6</v>
      </c>
      <c r="K97" s="14">
        <v>730.7</v>
      </c>
      <c r="L97" s="21">
        <v>19.100000000000001</v>
      </c>
      <c r="M97" s="22">
        <v>2.6800000000000001E-2</v>
      </c>
      <c r="N97" s="40">
        <v>2E-3</v>
      </c>
      <c r="O97" s="41">
        <v>1.46</v>
      </c>
      <c r="P97" s="13" t="s">
        <v>826</v>
      </c>
      <c r="Q97" s="11" t="s">
        <v>1030</v>
      </c>
      <c r="R97" s="13"/>
    </row>
    <row r="98" spans="1:18" x14ac:dyDescent="0.35">
      <c r="A98" s="2" t="s">
        <v>1031</v>
      </c>
      <c r="B98" s="3">
        <v>45012</v>
      </c>
      <c r="C98" s="2" t="s">
        <v>170</v>
      </c>
      <c r="D98" s="2" t="s">
        <v>23</v>
      </c>
      <c r="E98" s="2" t="s">
        <v>868</v>
      </c>
      <c r="F98" s="4" t="s">
        <v>869</v>
      </c>
      <c r="G98" s="2" t="s">
        <v>815</v>
      </c>
      <c r="H98" s="2" t="s">
        <v>816</v>
      </c>
      <c r="I98" s="5">
        <v>761.3</v>
      </c>
      <c r="J98" s="5">
        <v>761.3</v>
      </c>
      <c r="K98" s="5">
        <v>761.3</v>
      </c>
      <c r="L98" s="6">
        <v>0</v>
      </c>
      <c r="M98" s="7">
        <v>0</v>
      </c>
      <c r="N98" s="38">
        <v>0.48</v>
      </c>
      <c r="O98" s="39">
        <v>365.42</v>
      </c>
      <c r="P98" s="4" t="s">
        <v>826</v>
      </c>
      <c r="Q98" s="2" t="s">
        <v>1032</v>
      </c>
      <c r="R98" s="4"/>
    </row>
    <row r="99" spans="1:18" x14ac:dyDescent="0.35">
      <c r="A99" s="11" t="s">
        <v>1033</v>
      </c>
      <c r="B99" s="12">
        <v>45224</v>
      </c>
      <c r="C99" s="11" t="s">
        <v>387</v>
      </c>
      <c r="D99" s="11" t="s">
        <v>97</v>
      </c>
      <c r="E99" s="11" t="s">
        <v>823</v>
      </c>
      <c r="F99" s="13" t="s">
        <v>824</v>
      </c>
      <c r="G99" s="11" t="s">
        <v>808</v>
      </c>
      <c r="H99" s="11" t="s">
        <v>825</v>
      </c>
      <c r="I99" s="14">
        <v>1243.5999999999999</v>
      </c>
      <c r="J99" s="14">
        <v>1243.5999999999999</v>
      </c>
      <c r="K99" s="14">
        <v>1243.5999999999999</v>
      </c>
      <c r="L99" s="15">
        <v>0</v>
      </c>
      <c r="M99" s="16">
        <v>0</v>
      </c>
      <c r="N99" s="40">
        <v>6.2</v>
      </c>
      <c r="O99" s="41">
        <v>7710.32</v>
      </c>
      <c r="P99" s="13" t="s">
        <v>817</v>
      </c>
      <c r="Q99" s="11" t="s">
        <v>1034</v>
      </c>
      <c r="R99" s="13"/>
    </row>
    <row r="100" spans="1:18" x14ac:dyDescent="0.35">
      <c r="A100" s="2" t="s">
        <v>1035</v>
      </c>
      <c r="B100" s="3">
        <v>45212</v>
      </c>
      <c r="C100" s="2" t="s">
        <v>204</v>
      </c>
      <c r="D100" s="2" t="s">
        <v>31</v>
      </c>
      <c r="E100" s="2" t="s">
        <v>851</v>
      </c>
      <c r="F100" s="4" t="s">
        <v>852</v>
      </c>
      <c r="G100" s="2" t="s">
        <v>853</v>
      </c>
      <c r="H100" s="2" t="s">
        <v>816</v>
      </c>
      <c r="I100" s="5">
        <v>1115.2</v>
      </c>
      <c r="J100" s="5">
        <v>1115.2</v>
      </c>
      <c r="K100" s="5">
        <v>1115.2</v>
      </c>
      <c r="L100" s="6">
        <v>0</v>
      </c>
      <c r="M100" s="7">
        <v>0</v>
      </c>
      <c r="N100" s="38">
        <v>18.5</v>
      </c>
      <c r="O100" s="39">
        <v>20631.2</v>
      </c>
      <c r="P100" s="4" t="s">
        <v>826</v>
      </c>
      <c r="Q100" s="2" t="s">
        <v>1036</v>
      </c>
      <c r="R100" s="4"/>
    </row>
    <row r="101" spans="1:18" x14ac:dyDescent="0.35">
      <c r="A101" s="11" t="s">
        <v>1037</v>
      </c>
      <c r="B101" s="12">
        <v>45156</v>
      </c>
      <c r="C101" s="11" t="s">
        <v>369</v>
      </c>
      <c r="D101" s="11" t="s">
        <v>42</v>
      </c>
      <c r="E101" s="11" t="s">
        <v>868</v>
      </c>
      <c r="F101" s="13" t="s">
        <v>869</v>
      </c>
      <c r="G101" s="11" t="s">
        <v>815</v>
      </c>
      <c r="H101" s="11" t="s">
        <v>816</v>
      </c>
      <c r="I101" s="14">
        <v>873.6</v>
      </c>
      <c r="J101" s="14">
        <v>873.6</v>
      </c>
      <c r="K101" s="14">
        <v>873.6</v>
      </c>
      <c r="L101" s="15">
        <v>0</v>
      </c>
      <c r="M101" s="16">
        <v>0</v>
      </c>
      <c r="N101" s="40">
        <v>0.48</v>
      </c>
      <c r="O101" s="41">
        <v>419.33</v>
      </c>
      <c r="P101" s="13" t="s">
        <v>820</v>
      </c>
      <c r="Q101" s="11" t="s">
        <v>1038</v>
      </c>
      <c r="R101" s="13"/>
    </row>
    <row r="102" spans="1:18" x14ac:dyDescent="0.35">
      <c r="A102" s="2" t="s">
        <v>1039</v>
      </c>
      <c r="B102" s="3">
        <v>45063</v>
      </c>
      <c r="C102" s="2" t="s">
        <v>99</v>
      </c>
      <c r="D102" s="2" t="s">
        <v>97</v>
      </c>
      <c r="E102" s="2" t="s">
        <v>832</v>
      </c>
      <c r="F102" s="4" t="s">
        <v>833</v>
      </c>
      <c r="G102" s="2" t="s">
        <v>808</v>
      </c>
      <c r="H102" s="2" t="s">
        <v>834</v>
      </c>
      <c r="I102" s="5">
        <v>1662.9</v>
      </c>
      <c r="J102" s="5">
        <v>1662.9</v>
      </c>
      <c r="K102" s="5">
        <v>1662.9</v>
      </c>
      <c r="L102" s="6">
        <v>0</v>
      </c>
      <c r="M102" s="7">
        <v>0</v>
      </c>
      <c r="N102" s="38">
        <v>0.12</v>
      </c>
      <c r="O102" s="39">
        <v>199.55</v>
      </c>
      <c r="P102" s="4" t="s">
        <v>837</v>
      </c>
      <c r="Q102" s="2" t="s">
        <v>1040</v>
      </c>
      <c r="R102" s="4"/>
    </row>
    <row r="103" spans="1:18" x14ac:dyDescent="0.35">
      <c r="A103" s="11" t="s">
        <v>1041</v>
      </c>
      <c r="B103" s="12">
        <v>45166</v>
      </c>
      <c r="C103" s="11" t="s">
        <v>218</v>
      </c>
      <c r="D103" s="11" t="s">
        <v>97</v>
      </c>
      <c r="E103" s="11" t="s">
        <v>832</v>
      </c>
      <c r="F103" s="13" t="s">
        <v>833</v>
      </c>
      <c r="G103" s="11" t="s">
        <v>808</v>
      </c>
      <c r="H103" s="11" t="s">
        <v>834</v>
      </c>
      <c r="I103" s="14">
        <v>892.3</v>
      </c>
      <c r="J103" s="14">
        <v>892.3</v>
      </c>
      <c r="K103" s="14">
        <v>892.3</v>
      </c>
      <c r="L103" s="15">
        <v>0</v>
      </c>
      <c r="M103" s="16">
        <v>0</v>
      </c>
      <c r="N103" s="40">
        <v>0.12</v>
      </c>
      <c r="O103" s="41">
        <v>107.08</v>
      </c>
      <c r="P103" s="13" t="s">
        <v>810</v>
      </c>
      <c r="Q103" s="11" t="s">
        <v>1042</v>
      </c>
      <c r="R103" s="13"/>
    </row>
    <row r="104" spans="1:18" x14ac:dyDescent="0.35">
      <c r="A104" s="2" t="s">
        <v>1043</v>
      </c>
      <c r="B104" s="3">
        <v>44993</v>
      </c>
      <c r="C104" s="2" t="s">
        <v>111</v>
      </c>
      <c r="D104" s="2" t="s">
        <v>51</v>
      </c>
      <c r="E104" s="2" t="s">
        <v>823</v>
      </c>
      <c r="F104" s="4" t="s">
        <v>824</v>
      </c>
      <c r="G104" s="2" t="s">
        <v>808</v>
      </c>
      <c r="H104" s="2" t="s">
        <v>825</v>
      </c>
      <c r="I104" s="5">
        <v>305.60000000000002</v>
      </c>
      <c r="J104" s="5">
        <v>305.60000000000002</v>
      </c>
      <c r="K104" s="5">
        <v>305.60000000000002</v>
      </c>
      <c r="L104" s="6">
        <v>0</v>
      </c>
      <c r="M104" s="7">
        <v>0</v>
      </c>
      <c r="N104" s="38">
        <v>6.2</v>
      </c>
      <c r="O104" s="39">
        <v>1894.72</v>
      </c>
      <c r="P104" s="4" t="s">
        <v>820</v>
      </c>
      <c r="Q104" s="2" t="s">
        <v>1044</v>
      </c>
      <c r="R104" s="4"/>
    </row>
    <row r="105" spans="1:18" x14ac:dyDescent="0.35">
      <c r="A105" s="11" t="s">
        <v>1045</v>
      </c>
      <c r="B105" s="12">
        <v>44995</v>
      </c>
      <c r="C105" s="11" t="s">
        <v>379</v>
      </c>
      <c r="D105" s="11" t="s">
        <v>97</v>
      </c>
      <c r="E105" s="11" t="s">
        <v>832</v>
      </c>
      <c r="F105" s="13" t="s">
        <v>833</v>
      </c>
      <c r="G105" s="11" t="s">
        <v>808</v>
      </c>
      <c r="H105" s="11" t="s">
        <v>834</v>
      </c>
      <c r="I105" s="14">
        <v>1763.7</v>
      </c>
      <c r="J105" s="14">
        <v>1763.7</v>
      </c>
      <c r="K105" s="14">
        <v>1799.4</v>
      </c>
      <c r="L105" s="21">
        <v>35.700000000000003</v>
      </c>
      <c r="M105" s="22">
        <v>2.0199999999999999E-2</v>
      </c>
      <c r="N105" s="40">
        <v>0.12</v>
      </c>
      <c r="O105" s="41">
        <v>215.93</v>
      </c>
      <c r="P105" s="13" t="s">
        <v>829</v>
      </c>
      <c r="Q105" s="11" t="s">
        <v>1046</v>
      </c>
      <c r="R105" s="13"/>
    </row>
    <row r="106" spans="1:18" x14ac:dyDescent="0.35">
      <c r="A106" s="2" t="s">
        <v>1047</v>
      </c>
      <c r="B106" s="3">
        <v>45143</v>
      </c>
      <c r="C106" s="2" t="s">
        <v>455</v>
      </c>
      <c r="D106" s="2" t="s">
        <v>31</v>
      </c>
      <c r="E106" s="2" t="s">
        <v>851</v>
      </c>
      <c r="F106" s="4" t="s">
        <v>852</v>
      </c>
      <c r="G106" s="2" t="s">
        <v>853</v>
      </c>
      <c r="H106" s="2" t="s">
        <v>816</v>
      </c>
      <c r="I106" s="5">
        <v>1851.2</v>
      </c>
      <c r="J106" s="5">
        <v>1851.2</v>
      </c>
      <c r="K106" s="5">
        <v>1851.2</v>
      </c>
      <c r="L106" s="6">
        <v>0</v>
      </c>
      <c r="M106" s="7">
        <v>0</v>
      </c>
      <c r="N106" s="38">
        <v>18.5</v>
      </c>
      <c r="O106" s="39">
        <v>34247.199999999997</v>
      </c>
      <c r="P106" s="4" t="s">
        <v>837</v>
      </c>
      <c r="Q106" s="2" t="s">
        <v>1048</v>
      </c>
      <c r="R106" s="4"/>
    </row>
    <row r="107" spans="1:18" x14ac:dyDescent="0.35">
      <c r="A107" s="11" t="s">
        <v>1049</v>
      </c>
      <c r="B107" s="12">
        <v>45108</v>
      </c>
      <c r="C107" s="11" t="s">
        <v>69</v>
      </c>
      <c r="D107" s="11" t="s">
        <v>42</v>
      </c>
      <c r="E107" s="11" t="s">
        <v>851</v>
      </c>
      <c r="F107" s="13" t="s">
        <v>852</v>
      </c>
      <c r="G107" s="11" t="s">
        <v>853</v>
      </c>
      <c r="H107" s="11" t="s">
        <v>816</v>
      </c>
      <c r="I107" s="14">
        <v>336.9</v>
      </c>
      <c r="J107" s="14">
        <v>336.9</v>
      </c>
      <c r="K107" s="14">
        <v>336.9</v>
      </c>
      <c r="L107" s="15">
        <v>0</v>
      </c>
      <c r="M107" s="16">
        <v>0</v>
      </c>
      <c r="N107" s="40">
        <v>18.5</v>
      </c>
      <c r="O107" s="41">
        <v>6232.65</v>
      </c>
      <c r="P107" s="13" t="s">
        <v>829</v>
      </c>
      <c r="Q107" s="11" t="s">
        <v>1050</v>
      </c>
      <c r="R107" s="13"/>
    </row>
    <row r="108" spans="1:18" x14ac:dyDescent="0.35">
      <c r="A108" s="2" t="s">
        <v>1051</v>
      </c>
      <c r="B108" s="3">
        <v>45126</v>
      </c>
      <c r="C108" s="2" t="s">
        <v>164</v>
      </c>
      <c r="D108" s="2" t="s">
        <v>23</v>
      </c>
      <c r="E108" s="2" t="s">
        <v>806</v>
      </c>
      <c r="F108" s="4" t="s">
        <v>807</v>
      </c>
      <c r="G108" s="2" t="s">
        <v>808</v>
      </c>
      <c r="H108" s="2" t="s">
        <v>809</v>
      </c>
      <c r="I108" s="5">
        <v>1279</v>
      </c>
      <c r="J108" s="5">
        <v>1279</v>
      </c>
      <c r="K108" s="5">
        <v>1279</v>
      </c>
      <c r="L108" s="6">
        <v>0</v>
      </c>
      <c r="M108" s="7">
        <v>0</v>
      </c>
      <c r="N108" s="38">
        <v>2E-3</v>
      </c>
      <c r="O108" s="39">
        <v>2.56</v>
      </c>
      <c r="P108" s="4" t="s">
        <v>829</v>
      </c>
      <c r="Q108" s="2" t="s">
        <v>1052</v>
      </c>
      <c r="R108" s="4"/>
    </row>
    <row r="109" spans="1:18" x14ac:dyDescent="0.35">
      <c r="A109" s="11" t="s">
        <v>1053</v>
      </c>
      <c r="B109" s="12">
        <v>44946</v>
      </c>
      <c r="C109" s="11" t="s">
        <v>251</v>
      </c>
      <c r="D109" s="11" t="s">
        <v>97</v>
      </c>
      <c r="E109" s="11" t="s">
        <v>832</v>
      </c>
      <c r="F109" s="13" t="s">
        <v>833</v>
      </c>
      <c r="G109" s="11" t="s">
        <v>808</v>
      </c>
      <c r="H109" s="11" t="s">
        <v>834</v>
      </c>
      <c r="I109" s="14">
        <v>171.9</v>
      </c>
      <c r="J109" s="14">
        <v>171.9</v>
      </c>
      <c r="K109" s="14">
        <v>173.2</v>
      </c>
      <c r="L109" s="15">
        <v>1.3</v>
      </c>
      <c r="M109" s="16">
        <v>7.6E-3</v>
      </c>
      <c r="N109" s="40">
        <v>0.12</v>
      </c>
      <c r="O109" s="41">
        <v>20.78</v>
      </c>
      <c r="P109" s="13" t="s">
        <v>817</v>
      </c>
      <c r="Q109" s="11" t="s">
        <v>1054</v>
      </c>
      <c r="R109" s="13"/>
    </row>
    <row r="110" spans="1:18" x14ac:dyDescent="0.35">
      <c r="A110" s="2" t="s">
        <v>1055</v>
      </c>
      <c r="B110" s="3">
        <v>45214</v>
      </c>
      <c r="C110" s="2" t="s">
        <v>216</v>
      </c>
      <c r="D110" s="2" t="s">
        <v>42</v>
      </c>
      <c r="E110" s="2" t="s">
        <v>823</v>
      </c>
      <c r="F110" s="4" t="s">
        <v>824</v>
      </c>
      <c r="G110" s="2" t="s">
        <v>808</v>
      </c>
      <c r="H110" s="2" t="s">
        <v>825</v>
      </c>
      <c r="I110" s="5">
        <v>1139.5</v>
      </c>
      <c r="J110" s="5">
        <v>1139.5</v>
      </c>
      <c r="K110" s="5">
        <v>1139.5</v>
      </c>
      <c r="L110" s="6">
        <v>0</v>
      </c>
      <c r="M110" s="7">
        <v>0</v>
      </c>
      <c r="N110" s="38">
        <v>6.2</v>
      </c>
      <c r="O110" s="39">
        <v>7064.9</v>
      </c>
      <c r="P110" s="4" t="s">
        <v>817</v>
      </c>
      <c r="Q110" s="2" t="s">
        <v>1056</v>
      </c>
      <c r="R110" s="4"/>
    </row>
    <row r="111" spans="1:18" x14ac:dyDescent="0.35">
      <c r="A111" s="11" t="s">
        <v>1057</v>
      </c>
      <c r="B111" s="12">
        <v>45005</v>
      </c>
      <c r="C111" s="11" t="s">
        <v>289</v>
      </c>
      <c r="D111" s="11" t="s">
        <v>97</v>
      </c>
      <c r="E111" s="11" t="s">
        <v>832</v>
      </c>
      <c r="F111" s="13" t="s">
        <v>833</v>
      </c>
      <c r="G111" s="11" t="s">
        <v>808</v>
      </c>
      <c r="H111" s="11" t="s">
        <v>834</v>
      </c>
      <c r="I111" s="14">
        <v>1508.9</v>
      </c>
      <c r="J111" s="14">
        <v>1508.9</v>
      </c>
      <c r="K111" s="14">
        <v>1508.9</v>
      </c>
      <c r="L111" s="15">
        <v>0</v>
      </c>
      <c r="M111" s="16">
        <v>0</v>
      </c>
      <c r="N111" s="40">
        <v>0.12</v>
      </c>
      <c r="O111" s="41">
        <v>181.07</v>
      </c>
      <c r="P111" s="13" t="s">
        <v>820</v>
      </c>
      <c r="Q111" s="11" t="s">
        <v>1058</v>
      </c>
      <c r="R111" s="13"/>
    </row>
    <row r="112" spans="1:18" x14ac:dyDescent="0.35">
      <c r="A112" s="2" t="s">
        <v>1059</v>
      </c>
      <c r="B112" s="3">
        <v>45105</v>
      </c>
      <c r="C112" s="2" t="s">
        <v>156</v>
      </c>
      <c r="D112" s="2" t="s">
        <v>42</v>
      </c>
      <c r="E112" s="2" t="s">
        <v>868</v>
      </c>
      <c r="F112" s="4" t="s">
        <v>869</v>
      </c>
      <c r="G112" s="2" t="s">
        <v>815</v>
      </c>
      <c r="H112" s="2" t="s">
        <v>816</v>
      </c>
      <c r="I112" s="5">
        <v>810.9</v>
      </c>
      <c r="J112" s="5">
        <v>810.9</v>
      </c>
      <c r="K112" s="5">
        <v>810.9</v>
      </c>
      <c r="L112" s="6">
        <v>0</v>
      </c>
      <c r="M112" s="7">
        <v>0</v>
      </c>
      <c r="N112" s="38">
        <v>0.48</v>
      </c>
      <c r="O112" s="39">
        <v>389.23</v>
      </c>
      <c r="P112" s="4" t="s">
        <v>837</v>
      </c>
      <c r="Q112" s="2" t="s">
        <v>1060</v>
      </c>
      <c r="R112" s="4"/>
    </row>
    <row r="113" spans="1:18" x14ac:dyDescent="0.35">
      <c r="A113" s="11" t="s">
        <v>1061</v>
      </c>
      <c r="B113" s="12">
        <v>45043</v>
      </c>
      <c r="C113" s="11" t="s">
        <v>411</v>
      </c>
      <c r="D113" s="11" t="s">
        <v>42</v>
      </c>
      <c r="E113" s="11" t="s">
        <v>813</v>
      </c>
      <c r="F113" s="13" t="s">
        <v>814</v>
      </c>
      <c r="G113" s="11" t="s">
        <v>815</v>
      </c>
      <c r="H113" s="11" t="s">
        <v>816</v>
      </c>
      <c r="I113" s="14">
        <v>1388.5</v>
      </c>
      <c r="J113" s="14">
        <v>1388.5</v>
      </c>
      <c r="K113" s="14">
        <v>1388.5</v>
      </c>
      <c r="L113" s="15">
        <v>0</v>
      </c>
      <c r="M113" s="16">
        <v>0</v>
      </c>
      <c r="N113" s="40">
        <v>0.32</v>
      </c>
      <c r="O113" s="41">
        <v>444.32</v>
      </c>
      <c r="P113" s="13" t="s">
        <v>820</v>
      </c>
      <c r="Q113" s="11" t="s">
        <v>1062</v>
      </c>
      <c r="R113" s="13"/>
    </row>
    <row r="114" spans="1:18" x14ac:dyDescent="0.35">
      <c r="A114" s="2" t="s">
        <v>1063</v>
      </c>
      <c r="B114" s="3">
        <v>45010</v>
      </c>
      <c r="C114" s="2" t="s">
        <v>180</v>
      </c>
      <c r="D114" s="2" t="s">
        <v>31</v>
      </c>
      <c r="E114" s="2" t="s">
        <v>813</v>
      </c>
      <c r="F114" s="4" t="s">
        <v>814</v>
      </c>
      <c r="G114" s="2" t="s">
        <v>815</v>
      </c>
      <c r="H114" s="2" t="s">
        <v>816</v>
      </c>
      <c r="I114" s="5">
        <v>147.5</v>
      </c>
      <c r="J114" s="5">
        <v>147.5</v>
      </c>
      <c r="K114" s="5">
        <v>147.5</v>
      </c>
      <c r="L114" s="6">
        <v>0</v>
      </c>
      <c r="M114" s="7">
        <v>0</v>
      </c>
      <c r="N114" s="38">
        <v>0.32</v>
      </c>
      <c r="O114" s="39">
        <v>47.2</v>
      </c>
      <c r="P114" s="4" t="s">
        <v>829</v>
      </c>
      <c r="Q114" s="2" t="s">
        <v>1064</v>
      </c>
      <c r="R114" s="4"/>
    </row>
    <row r="115" spans="1:18" x14ac:dyDescent="0.35">
      <c r="A115" s="11" t="s">
        <v>1065</v>
      </c>
      <c r="B115" s="12">
        <v>45029</v>
      </c>
      <c r="C115" s="11" t="s">
        <v>383</v>
      </c>
      <c r="D115" s="11" t="s">
        <v>23</v>
      </c>
      <c r="E115" s="11" t="s">
        <v>840</v>
      </c>
      <c r="F115" s="13" t="s">
        <v>841</v>
      </c>
      <c r="G115" s="11" t="s">
        <v>842</v>
      </c>
      <c r="H115" s="11" t="s">
        <v>816</v>
      </c>
      <c r="I115" s="14">
        <v>672.2</v>
      </c>
      <c r="J115" s="14">
        <v>658.1</v>
      </c>
      <c r="K115" s="14">
        <v>658.1</v>
      </c>
      <c r="L115" s="21">
        <v>-14.1</v>
      </c>
      <c r="M115" s="22">
        <v>-2.1000000000000001E-2</v>
      </c>
      <c r="N115" s="40">
        <v>42</v>
      </c>
      <c r="O115" s="41">
        <v>27640.2</v>
      </c>
      <c r="P115" s="13" t="s">
        <v>817</v>
      </c>
      <c r="Q115" s="11" t="s">
        <v>1066</v>
      </c>
      <c r="R115" s="13"/>
    </row>
    <row r="116" spans="1:18" x14ac:dyDescent="0.35">
      <c r="A116" s="2" t="s">
        <v>1067</v>
      </c>
      <c r="B116" s="3">
        <v>45238</v>
      </c>
      <c r="C116" s="2" t="s">
        <v>255</v>
      </c>
      <c r="D116" s="2" t="s">
        <v>97</v>
      </c>
      <c r="E116" s="2" t="s">
        <v>868</v>
      </c>
      <c r="F116" s="4" t="s">
        <v>869</v>
      </c>
      <c r="G116" s="2" t="s">
        <v>815</v>
      </c>
      <c r="H116" s="2" t="s">
        <v>816</v>
      </c>
      <c r="I116" s="5">
        <v>1700.2</v>
      </c>
      <c r="J116" s="5">
        <v>1700.2</v>
      </c>
      <c r="K116" s="5">
        <v>1700.2</v>
      </c>
      <c r="L116" s="6">
        <v>0</v>
      </c>
      <c r="M116" s="7">
        <v>0</v>
      </c>
      <c r="N116" s="38">
        <v>0.48</v>
      </c>
      <c r="O116" s="39">
        <v>816.1</v>
      </c>
      <c r="P116" s="4" t="s">
        <v>820</v>
      </c>
      <c r="Q116" s="2" t="s">
        <v>1068</v>
      </c>
      <c r="R116" s="4"/>
    </row>
    <row r="117" spans="1:18" x14ac:dyDescent="0.35">
      <c r="A117" s="11" t="s">
        <v>1069</v>
      </c>
      <c r="B117" s="12">
        <v>45014</v>
      </c>
      <c r="C117" s="11" t="s">
        <v>176</v>
      </c>
      <c r="D117" s="11" t="s">
        <v>42</v>
      </c>
      <c r="E117" s="11" t="s">
        <v>851</v>
      </c>
      <c r="F117" s="13" t="s">
        <v>852</v>
      </c>
      <c r="G117" s="11" t="s">
        <v>853</v>
      </c>
      <c r="H117" s="11" t="s">
        <v>816</v>
      </c>
      <c r="I117" s="14">
        <v>1649.6</v>
      </c>
      <c r="J117" s="14">
        <v>1649.7</v>
      </c>
      <c r="K117" s="14">
        <v>1723.1</v>
      </c>
      <c r="L117" s="21">
        <v>73.5</v>
      </c>
      <c r="M117" s="22">
        <v>4.4600000000000001E-2</v>
      </c>
      <c r="N117" s="40">
        <v>18.5</v>
      </c>
      <c r="O117" s="41">
        <v>31877.35</v>
      </c>
      <c r="P117" s="13" t="s">
        <v>820</v>
      </c>
      <c r="Q117" s="11" t="s">
        <v>1070</v>
      </c>
      <c r="R117" s="13" t="s">
        <v>873</v>
      </c>
    </row>
    <row r="118" spans="1:18" x14ac:dyDescent="0.35">
      <c r="A118" s="2" t="s">
        <v>1071</v>
      </c>
      <c r="B118" s="3">
        <v>44990</v>
      </c>
      <c r="C118" s="2" t="s">
        <v>413</v>
      </c>
      <c r="D118" s="2" t="s">
        <v>31</v>
      </c>
      <c r="E118" s="2" t="s">
        <v>845</v>
      </c>
      <c r="F118" s="4" t="s">
        <v>846</v>
      </c>
      <c r="G118" s="2" t="s">
        <v>815</v>
      </c>
      <c r="H118" s="2" t="s">
        <v>816</v>
      </c>
      <c r="I118" s="5">
        <v>174.4</v>
      </c>
      <c r="J118" s="5">
        <v>174.4</v>
      </c>
      <c r="K118" s="5">
        <v>182.7</v>
      </c>
      <c r="L118" s="21">
        <v>8.3000000000000007</v>
      </c>
      <c r="M118" s="22">
        <v>4.7600000000000003E-2</v>
      </c>
      <c r="N118" s="38">
        <v>0.65</v>
      </c>
      <c r="O118" s="39">
        <v>118.75</v>
      </c>
      <c r="P118" s="4" t="s">
        <v>826</v>
      </c>
      <c r="Q118" s="2" t="s">
        <v>1072</v>
      </c>
      <c r="R118" s="4" t="s">
        <v>873</v>
      </c>
    </row>
    <row r="119" spans="1:18" x14ac:dyDescent="0.35">
      <c r="A119" s="11" t="s">
        <v>1073</v>
      </c>
      <c r="B119" s="12">
        <v>45029</v>
      </c>
      <c r="C119" s="11" t="s">
        <v>117</v>
      </c>
      <c r="D119" s="11" t="s">
        <v>42</v>
      </c>
      <c r="E119" s="11" t="s">
        <v>823</v>
      </c>
      <c r="F119" s="13" t="s">
        <v>824</v>
      </c>
      <c r="G119" s="11" t="s">
        <v>808</v>
      </c>
      <c r="H119" s="11" t="s">
        <v>825</v>
      </c>
      <c r="I119" s="14">
        <v>1840.6</v>
      </c>
      <c r="J119" s="14">
        <v>1825</v>
      </c>
      <c r="K119" s="14">
        <v>1825</v>
      </c>
      <c r="L119" s="15">
        <v>-15.6</v>
      </c>
      <c r="M119" s="16">
        <v>-8.5000000000000006E-3</v>
      </c>
      <c r="N119" s="40">
        <v>6.2</v>
      </c>
      <c r="O119" s="41">
        <v>11315</v>
      </c>
      <c r="P119" s="13" t="s">
        <v>837</v>
      </c>
      <c r="Q119" s="11" t="s">
        <v>1074</v>
      </c>
      <c r="R119" s="13"/>
    </row>
    <row r="120" spans="1:18" x14ac:dyDescent="0.35">
      <c r="A120" s="2" t="s">
        <v>1075</v>
      </c>
      <c r="B120" s="3">
        <v>44982</v>
      </c>
      <c r="C120" s="2" t="s">
        <v>291</v>
      </c>
      <c r="D120" s="2" t="s">
        <v>97</v>
      </c>
      <c r="E120" s="2" t="s">
        <v>823</v>
      </c>
      <c r="F120" s="4" t="s">
        <v>824</v>
      </c>
      <c r="G120" s="2" t="s">
        <v>808</v>
      </c>
      <c r="H120" s="2" t="s">
        <v>825</v>
      </c>
      <c r="I120" s="5">
        <v>1976.4</v>
      </c>
      <c r="J120" s="5">
        <v>1976.4</v>
      </c>
      <c r="K120" s="5">
        <v>1976.4</v>
      </c>
      <c r="L120" s="6">
        <v>0</v>
      </c>
      <c r="M120" s="7">
        <v>0</v>
      </c>
      <c r="N120" s="38">
        <v>6.2</v>
      </c>
      <c r="O120" s="39">
        <v>12253.68</v>
      </c>
      <c r="P120" s="4" t="s">
        <v>826</v>
      </c>
      <c r="Q120" s="2" t="s">
        <v>1076</v>
      </c>
      <c r="R120" s="4"/>
    </row>
    <row r="121" spans="1:18" x14ac:dyDescent="0.35">
      <c r="A121" s="11" t="s">
        <v>1077</v>
      </c>
      <c r="B121" s="12">
        <v>44992</v>
      </c>
      <c r="C121" s="11" t="s">
        <v>427</v>
      </c>
      <c r="D121" s="11" t="s">
        <v>97</v>
      </c>
      <c r="E121" s="11" t="s">
        <v>823</v>
      </c>
      <c r="F121" s="13" t="s">
        <v>824</v>
      </c>
      <c r="G121" s="11" t="s">
        <v>808</v>
      </c>
      <c r="H121" s="11" t="s">
        <v>825</v>
      </c>
      <c r="I121" s="14">
        <v>1523.6</v>
      </c>
      <c r="J121" s="14">
        <v>1523.6</v>
      </c>
      <c r="K121" s="14">
        <v>1589.4</v>
      </c>
      <c r="L121" s="21">
        <v>65.8</v>
      </c>
      <c r="M121" s="22">
        <v>4.3200000000000002E-2</v>
      </c>
      <c r="N121" s="40">
        <v>6.2</v>
      </c>
      <c r="O121" s="41">
        <v>9854.2800000000007</v>
      </c>
      <c r="P121" s="13" t="s">
        <v>829</v>
      </c>
      <c r="Q121" s="11" t="s">
        <v>1078</v>
      </c>
      <c r="R121" s="13" t="s">
        <v>873</v>
      </c>
    </row>
    <row r="122" spans="1:18" x14ac:dyDescent="0.35">
      <c r="A122" s="2" t="s">
        <v>1079</v>
      </c>
      <c r="B122" s="3">
        <v>45038</v>
      </c>
      <c r="C122" s="2" t="s">
        <v>359</v>
      </c>
      <c r="D122" s="2" t="s">
        <v>42</v>
      </c>
      <c r="E122" s="2" t="s">
        <v>813</v>
      </c>
      <c r="F122" s="4" t="s">
        <v>814</v>
      </c>
      <c r="G122" s="2" t="s">
        <v>815</v>
      </c>
      <c r="H122" s="2" t="s">
        <v>816</v>
      </c>
      <c r="I122" s="5">
        <v>1882.4</v>
      </c>
      <c r="J122" s="5">
        <v>1882.4</v>
      </c>
      <c r="K122" s="5">
        <v>1838.4</v>
      </c>
      <c r="L122" s="21">
        <v>-44</v>
      </c>
      <c r="M122" s="22">
        <v>-2.3400000000000001E-2</v>
      </c>
      <c r="N122" s="38">
        <v>0.32</v>
      </c>
      <c r="O122" s="39">
        <v>588.29</v>
      </c>
      <c r="P122" s="4" t="s">
        <v>829</v>
      </c>
      <c r="Q122" s="2" t="s">
        <v>1080</v>
      </c>
      <c r="R122" s="4"/>
    </row>
    <row r="123" spans="1:18" x14ac:dyDescent="0.35">
      <c r="A123" s="11" t="s">
        <v>1081</v>
      </c>
      <c r="B123" s="12">
        <v>44936</v>
      </c>
      <c r="C123" s="11" t="s">
        <v>94</v>
      </c>
      <c r="D123" s="11" t="s">
        <v>23</v>
      </c>
      <c r="E123" s="11" t="s">
        <v>840</v>
      </c>
      <c r="F123" s="13" t="s">
        <v>841</v>
      </c>
      <c r="G123" s="11" t="s">
        <v>842</v>
      </c>
      <c r="H123" s="11" t="s">
        <v>816</v>
      </c>
      <c r="I123" s="14">
        <v>597.29999999999995</v>
      </c>
      <c r="J123" s="14">
        <v>597.29999999999995</v>
      </c>
      <c r="K123" s="14">
        <v>569.79999999999995</v>
      </c>
      <c r="L123" s="23">
        <v>-27.5</v>
      </c>
      <c r="M123" s="24">
        <v>-4.5999999999999999E-2</v>
      </c>
      <c r="N123" s="40">
        <v>42</v>
      </c>
      <c r="O123" s="41">
        <v>23931.599999999999</v>
      </c>
      <c r="P123" s="13" t="s">
        <v>837</v>
      </c>
      <c r="Q123" s="11" t="s">
        <v>1082</v>
      </c>
      <c r="R123" s="13" t="s">
        <v>873</v>
      </c>
    </row>
    <row r="124" spans="1:18" x14ac:dyDescent="0.35">
      <c r="A124" s="2" t="s">
        <v>1083</v>
      </c>
      <c r="B124" s="3">
        <v>44976</v>
      </c>
      <c r="C124" s="2" t="s">
        <v>321</v>
      </c>
      <c r="D124" s="2" t="s">
        <v>51</v>
      </c>
      <c r="E124" s="2" t="s">
        <v>806</v>
      </c>
      <c r="F124" s="4" t="s">
        <v>807</v>
      </c>
      <c r="G124" s="2" t="s">
        <v>808</v>
      </c>
      <c r="H124" s="2" t="s">
        <v>809</v>
      </c>
      <c r="I124" s="5">
        <v>1270</v>
      </c>
      <c r="J124" s="5">
        <v>1270</v>
      </c>
      <c r="K124" s="5">
        <v>1270</v>
      </c>
      <c r="L124" s="6">
        <v>0</v>
      </c>
      <c r="M124" s="7">
        <v>0</v>
      </c>
      <c r="N124" s="38">
        <v>2E-3</v>
      </c>
      <c r="O124" s="39">
        <v>2.54</v>
      </c>
      <c r="P124" s="4" t="s">
        <v>837</v>
      </c>
      <c r="Q124" s="2" t="s">
        <v>1084</v>
      </c>
      <c r="R124" s="4"/>
    </row>
    <row r="125" spans="1:18" x14ac:dyDescent="0.35">
      <c r="A125" s="11" t="s">
        <v>1085</v>
      </c>
      <c r="B125" s="12">
        <v>44994</v>
      </c>
      <c r="C125" s="11" t="s">
        <v>413</v>
      </c>
      <c r="D125" s="11" t="s">
        <v>23</v>
      </c>
      <c r="E125" s="11" t="s">
        <v>806</v>
      </c>
      <c r="F125" s="13" t="s">
        <v>807</v>
      </c>
      <c r="G125" s="11" t="s">
        <v>808</v>
      </c>
      <c r="H125" s="11" t="s">
        <v>809</v>
      </c>
      <c r="I125" s="14">
        <v>727</v>
      </c>
      <c r="J125" s="14">
        <v>727</v>
      </c>
      <c r="K125" s="14">
        <v>736.3</v>
      </c>
      <c r="L125" s="15">
        <v>9.3000000000000007</v>
      </c>
      <c r="M125" s="16">
        <v>1.2800000000000001E-2</v>
      </c>
      <c r="N125" s="40">
        <v>2E-3</v>
      </c>
      <c r="O125" s="41">
        <v>1.47</v>
      </c>
      <c r="P125" s="13" t="s">
        <v>810</v>
      </c>
      <c r="Q125" s="11" t="s">
        <v>1086</v>
      </c>
      <c r="R125" s="13"/>
    </row>
    <row r="126" spans="1:18" x14ac:dyDescent="0.35">
      <c r="A126" s="2" t="s">
        <v>1087</v>
      </c>
      <c r="B126" s="3">
        <v>45001</v>
      </c>
      <c r="C126" s="2" t="s">
        <v>281</v>
      </c>
      <c r="D126" s="2" t="s">
        <v>31</v>
      </c>
      <c r="E126" s="2" t="s">
        <v>845</v>
      </c>
      <c r="F126" s="4" t="s">
        <v>846</v>
      </c>
      <c r="G126" s="2" t="s">
        <v>815</v>
      </c>
      <c r="H126" s="2" t="s">
        <v>816</v>
      </c>
      <c r="I126" s="5">
        <v>1995.6</v>
      </c>
      <c r="J126" s="5">
        <v>1995.6</v>
      </c>
      <c r="K126" s="5">
        <v>1993.7</v>
      </c>
      <c r="L126" s="6">
        <v>-1.9</v>
      </c>
      <c r="M126" s="7">
        <v>-1E-3</v>
      </c>
      <c r="N126" s="38">
        <v>0.65</v>
      </c>
      <c r="O126" s="39">
        <v>1295.9000000000001</v>
      </c>
      <c r="P126" s="4" t="s">
        <v>829</v>
      </c>
      <c r="Q126" s="2" t="s">
        <v>1088</v>
      </c>
      <c r="R126" s="4"/>
    </row>
    <row r="127" spans="1:18" x14ac:dyDescent="0.35">
      <c r="A127" s="11" t="s">
        <v>1089</v>
      </c>
      <c r="B127" s="12">
        <v>45160</v>
      </c>
      <c r="C127" s="11" t="s">
        <v>143</v>
      </c>
      <c r="D127" s="11" t="s">
        <v>31</v>
      </c>
      <c r="E127" s="11" t="s">
        <v>806</v>
      </c>
      <c r="F127" s="13" t="s">
        <v>807</v>
      </c>
      <c r="G127" s="11" t="s">
        <v>808</v>
      </c>
      <c r="H127" s="11" t="s">
        <v>809</v>
      </c>
      <c r="I127" s="14">
        <v>1405</v>
      </c>
      <c r="J127" s="14">
        <v>1405</v>
      </c>
      <c r="K127" s="14">
        <v>1405</v>
      </c>
      <c r="L127" s="15">
        <v>0</v>
      </c>
      <c r="M127" s="16">
        <v>0</v>
      </c>
      <c r="N127" s="40">
        <v>2E-3</v>
      </c>
      <c r="O127" s="41">
        <v>2.81</v>
      </c>
      <c r="P127" s="13" t="s">
        <v>810</v>
      </c>
      <c r="Q127" s="11" t="s">
        <v>1090</v>
      </c>
      <c r="R127" s="13"/>
    </row>
    <row r="128" spans="1:18" x14ac:dyDescent="0.35">
      <c r="A128" s="2" t="s">
        <v>1091</v>
      </c>
      <c r="B128" s="3">
        <v>45061</v>
      </c>
      <c r="C128" s="2" t="s">
        <v>111</v>
      </c>
      <c r="D128" s="2" t="s">
        <v>42</v>
      </c>
      <c r="E128" s="2" t="s">
        <v>893</v>
      </c>
      <c r="F128" s="4" t="s">
        <v>894</v>
      </c>
      <c r="G128" s="2" t="s">
        <v>895</v>
      </c>
      <c r="H128" s="2" t="s">
        <v>816</v>
      </c>
      <c r="I128" s="5">
        <v>1242.5</v>
      </c>
      <c r="J128" s="5">
        <v>1252.8</v>
      </c>
      <c r="K128" s="5">
        <v>1252.8</v>
      </c>
      <c r="L128" s="6">
        <v>10.3</v>
      </c>
      <c r="M128" s="7">
        <v>8.3000000000000001E-3</v>
      </c>
      <c r="N128" s="38">
        <v>8.75</v>
      </c>
      <c r="O128" s="39">
        <v>10962</v>
      </c>
      <c r="P128" s="4" t="s">
        <v>829</v>
      </c>
      <c r="Q128" s="2" t="s">
        <v>1092</v>
      </c>
      <c r="R128" s="4"/>
    </row>
    <row r="129" spans="1:18" x14ac:dyDescent="0.35">
      <c r="A129" s="11" t="s">
        <v>1093</v>
      </c>
      <c r="B129" s="12">
        <v>45103</v>
      </c>
      <c r="C129" s="11" t="s">
        <v>423</v>
      </c>
      <c r="D129" s="11" t="s">
        <v>51</v>
      </c>
      <c r="E129" s="11" t="s">
        <v>806</v>
      </c>
      <c r="F129" s="13" t="s">
        <v>807</v>
      </c>
      <c r="G129" s="11" t="s">
        <v>808</v>
      </c>
      <c r="H129" s="11" t="s">
        <v>809</v>
      </c>
      <c r="I129" s="14">
        <v>134.4</v>
      </c>
      <c r="J129" s="14">
        <v>134.4</v>
      </c>
      <c r="K129" s="14">
        <v>134.4</v>
      </c>
      <c r="L129" s="15">
        <v>0</v>
      </c>
      <c r="M129" s="16">
        <v>0</v>
      </c>
      <c r="N129" s="40">
        <v>2E-3</v>
      </c>
      <c r="O129" s="41">
        <v>0.27</v>
      </c>
      <c r="P129" s="13" t="s">
        <v>817</v>
      </c>
      <c r="Q129" s="11" t="s">
        <v>1094</v>
      </c>
      <c r="R129" s="13"/>
    </row>
    <row r="130" spans="1:18" x14ac:dyDescent="0.35">
      <c r="A130" s="2" t="s">
        <v>1095</v>
      </c>
      <c r="B130" s="3">
        <v>45142</v>
      </c>
      <c r="C130" s="2" t="s">
        <v>315</v>
      </c>
      <c r="D130" s="2" t="s">
        <v>31</v>
      </c>
      <c r="E130" s="2" t="s">
        <v>813</v>
      </c>
      <c r="F130" s="4" t="s">
        <v>814</v>
      </c>
      <c r="G130" s="2" t="s">
        <v>815</v>
      </c>
      <c r="H130" s="2" t="s">
        <v>816</v>
      </c>
      <c r="I130" s="5">
        <v>194</v>
      </c>
      <c r="J130" s="5">
        <v>194</v>
      </c>
      <c r="K130" s="5">
        <v>194</v>
      </c>
      <c r="L130" s="6">
        <v>0</v>
      </c>
      <c r="M130" s="7">
        <v>0</v>
      </c>
      <c r="N130" s="38">
        <v>0.32</v>
      </c>
      <c r="O130" s="39">
        <v>62.08</v>
      </c>
      <c r="P130" s="4" t="s">
        <v>837</v>
      </c>
      <c r="Q130" s="2" t="s">
        <v>1096</v>
      </c>
      <c r="R130" s="4"/>
    </row>
    <row r="131" spans="1:18" x14ac:dyDescent="0.35">
      <c r="A131" s="11" t="s">
        <v>1097</v>
      </c>
      <c r="B131" s="12">
        <v>45109</v>
      </c>
      <c r="C131" s="11" t="s">
        <v>439</v>
      </c>
      <c r="D131" s="11" t="s">
        <v>23</v>
      </c>
      <c r="E131" s="11" t="s">
        <v>845</v>
      </c>
      <c r="F131" s="13" t="s">
        <v>846</v>
      </c>
      <c r="G131" s="11" t="s">
        <v>815</v>
      </c>
      <c r="H131" s="11" t="s">
        <v>816</v>
      </c>
      <c r="I131" s="14">
        <v>1450.4</v>
      </c>
      <c r="J131" s="14">
        <v>1468.6</v>
      </c>
      <c r="K131" s="14">
        <v>1468.6</v>
      </c>
      <c r="L131" s="15">
        <v>18.2</v>
      </c>
      <c r="M131" s="16">
        <v>1.2500000000000001E-2</v>
      </c>
      <c r="N131" s="40">
        <v>0.65</v>
      </c>
      <c r="O131" s="41">
        <v>954.59</v>
      </c>
      <c r="P131" s="13" t="s">
        <v>826</v>
      </c>
      <c r="Q131" s="11" t="s">
        <v>1098</v>
      </c>
      <c r="R131" s="13"/>
    </row>
  </sheetData>
  <autoFilter ref="A1:R1" xr:uid="{00000000-0009-0000-0000-000003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tabColor rgb="FFE67E22"/>
  </sheetPr>
  <dimension ref="A1:Q101"/>
  <sheetViews>
    <sheetView workbookViewId="0">
      <pane ySplit="1" topLeftCell="A64" activePane="bottomLeft" state="frozen"/>
      <selection pane="bottomLeft"/>
    </sheetView>
  </sheetViews>
  <sheetFormatPr defaultRowHeight="14.5" x14ac:dyDescent="0.35"/>
  <cols>
    <col min="1" max="1" width="16" customWidth="1"/>
    <col min="2" max="2" width="14" customWidth="1"/>
    <col min="3" max="4" width="10" customWidth="1"/>
    <col min="5" max="5" width="16" customWidth="1"/>
    <col min="6" max="6" width="11" customWidth="1"/>
    <col min="7" max="7" width="10" customWidth="1"/>
    <col min="8" max="8" width="16" customWidth="1"/>
    <col min="9" max="9" width="18" customWidth="1"/>
    <col min="10" max="10" width="13" customWidth="1"/>
    <col min="11" max="11" width="20" customWidth="1"/>
    <col min="12" max="14" width="16" customWidth="1"/>
    <col min="15" max="15" width="20" customWidth="1"/>
    <col min="16" max="16" width="14" customWidth="1"/>
    <col min="17" max="17" width="38" customWidth="1"/>
  </cols>
  <sheetData>
    <row r="1" spans="1:17" ht="28" customHeight="1" x14ac:dyDescent="0.35">
      <c r="A1" s="1" t="s">
        <v>1099</v>
      </c>
      <c r="B1" s="1" t="s">
        <v>1100</v>
      </c>
      <c r="C1" s="1" t="s">
        <v>2</v>
      </c>
      <c r="D1" s="1" t="s">
        <v>460</v>
      </c>
      <c r="E1" s="1" t="s">
        <v>1101</v>
      </c>
      <c r="F1" s="1" t="s">
        <v>1102</v>
      </c>
      <c r="G1" s="1" t="s">
        <v>1103</v>
      </c>
      <c r="H1" s="1" t="s">
        <v>1104</v>
      </c>
      <c r="I1" s="1" t="s">
        <v>1105</v>
      </c>
      <c r="J1" s="1" t="s">
        <v>1106</v>
      </c>
      <c r="K1" s="1" t="s">
        <v>1107</v>
      </c>
      <c r="L1" s="1" t="s">
        <v>1108</v>
      </c>
      <c r="M1" s="1" t="s">
        <v>1109</v>
      </c>
      <c r="N1" s="1" t="s">
        <v>802</v>
      </c>
      <c r="O1" s="1" t="s">
        <v>1110</v>
      </c>
      <c r="P1" s="1" t="s">
        <v>656</v>
      </c>
      <c r="Q1" s="1" t="s">
        <v>21</v>
      </c>
    </row>
    <row r="2" spans="1:17" hidden="1" x14ac:dyDescent="0.35">
      <c r="A2" s="2" t="s">
        <v>1111</v>
      </c>
      <c r="B2" s="3">
        <v>45170</v>
      </c>
      <c r="C2" s="2" t="s">
        <v>97</v>
      </c>
      <c r="D2" s="2" t="s">
        <v>710</v>
      </c>
      <c r="E2" s="4" t="s">
        <v>1112</v>
      </c>
      <c r="F2" s="10" t="s">
        <v>663</v>
      </c>
      <c r="G2" s="2" t="s">
        <v>33</v>
      </c>
      <c r="H2" s="3">
        <v>45182</v>
      </c>
      <c r="I2" s="3"/>
      <c r="J2" s="8"/>
      <c r="K2" s="4" t="s">
        <v>1113</v>
      </c>
      <c r="L2" s="39"/>
      <c r="M2" s="39"/>
      <c r="N2" s="39"/>
      <c r="O2" s="8"/>
      <c r="P2" s="37" t="s">
        <v>1114</v>
      </c>
      <c r="Q2" s="4" t="s">
        <v>1115</v>
      </c>
    </row>
    <row r="3" spans="1:17" x14ac:dyDescent="0.35">
      <c r="A3" s="11" t="s">
        <v>1116</v>
      </c>
      <c r="B3" s="12">
        <v>44985</v>
      </c>
      <c r="C3" s="11" t="s">
        <v>42</v>
      </c>
      <c r="D3" s="11" t="s">
        <v>710</v>
      </c>
      <c r="E3" s="13" t="s">
        <v>1112</v>
      </c>
      <c r="F3" s="20" t="s">
        <v>669</v>
      </c>
      <c r="G3" s="11" t="s">
        <v>59</v>
      </c>
      <c r="H3" s="12">
        <v>44996</v>
      </c>
      <c r="I3" s="12">
        <v>44996</v>
      </c>
      <c r="J3" s="17">
        <v>17.399999999999999</v>
      </c>
      <c r="K3" s="13" t="s">
        <v>1117</v>
      </c>
      <c r="L3" s="41">
        <v>1613.56</v>
      </c>
      <c r="M3" s="41">
        <v>2118.77</v>
      </c>
      <c r="N3" s="41">
        <v>3732.33</v>
      </c>
      <c r="O3" s="17">
        <v>0.3</v>
      </c>
      <c r="P3" s="10" t="s">
        <v>1118</v>
      </c>
      <c r="Q3" s="13"/>
    </row>
    <row r="4" spans="1:17" hidden="1" x14ac:dyDescent="0.35">
      <c r="A4" s="2" t="s">
        <v>1119</v>
      </c>
      <c r="B4" s="3">
        <v>45096</v>
      </c>
      <c r="C4" s="2" t="s">
        <v>97</v>
      </c>
      <c r="D4" s="2" t="s">
        <v>482</v>
      </c>
      <c r="E4" s="4" t="s">
        <v>1120</v>
      </c>
      <c r="F4" s="10" t="s">
        <v>663</v>
      </c>
      <c r="G4" s="2" t="s">
        <v>55</v>
      </c>
      <c r="H4" s="3">
        <v>45110</v>
      </c>
      <c r="I4" s="3"/>
      <c r="J4" s="8"/>
      <c r="K4" s="4" t="s">
        <v>1121</v>
      </c>
      <c r="L4" s="39"/>
      <c r="M4" s="39"/>
      <c r="N4" s="39"/>
      <c r="O4" s="8"/>
      <c r="P4" s="33" t="s">
        <v>672</v>
      </c>
      <c r="Q4" s="4" t="s">
        <v>1122</v>
      </c>
    </row>
    <row r="5" spans="1:17" x14ac:dyDescent="0.35">
      <c r="A5" s="11" t="s">
        <v>1123</v>
      </c>
      <c r="B5" s="12">
        <v>45128</v>
      </c>
      <c r="C5" s="11" t="s">
        <v>42</v>
      </c>
      <c r="D5" s="11" t="s">
        <v>691</v>
      </c>
      <c r="E5" s="13" t="s">
        <v>1120</v>
      </c>
      <c r="F5" s="20" t="s">
        <v>669</v>
      </c>
      <c r="G5" s="11" t="s">
        <v>55</v>
      </c>
      <c r="H5" s="12">
        <v>45136</v>
      </c>
      <c r="I5" s="12"/>
      <c r="J5" s="17"/>
      <c r="K5" s="13" t="s">
        <v>1124</v>
      </c>
      <c r="L5" s="41"/>
      <c r="M5" s="41"/>
      <c r="N5" s="41"/>
      <c r="O5" s="17"/>
      <c r="P5" s="37" t="s">
        <v>1114</v>
      </c>
      <c r="Q5" s="13" t="s">
        <v>1115</v>
      </c>
    </row>
    <row r="6" spans="1:17" hidden="1" x14ac:dyDescent="0.35">
      <c r="A6" s="2" t="s">
        <v>1125</v>
      </c>
      <c r="B6" s="3">
        <v>45288</v>
      </c>
      <c r="C6" s="2" t="s">
        <v>31</v>
      </c>
      <c r="D6" s="2" t="s">
        <v>471</v>
      </c>
      <c r="E6" s="4" t="s">
        <v>1120</v>
      </c>
      <c r="F6" s="10" t="s">
        <v>663</v>
      </c>
      <c r="G6" s="2" t="s">
        <v>33</v>
      </c>
      <c r="H6" s="3">
        <v>45299</v>
      </c>
      <c r="I6" s="3"/>
      <c r="J6" s="8"/>
      <c r="K6" s="4" t="s">
        <v>1124</v>
      </c>
      <c r="L6" s="39"/>
      <c r="M6" s="39"/>
      <c r="N6" s="39"/>
      <c r="O6" s="8"/>
      <c r="P6" s="33" t="s">
        <v>672</v>
      </c>
      <c r="Q6" s="4" t="s">
        <v>1122</v>
      </c>
    </row>
    <row r="7" spans="1:17" x14ac:dyDescent="0.35">
      <c r="A7" s="11" t="s">
        <v>1126</v>
      </c>
      <c r="B7" s="12">
        <v>44985</v>
      </c>
      <c r="C7" s="11" t="s">
        <v>31</v>
      </c>
      <c r="D7" s="11" t="s">
        <v>477</v>
      </c>
      <c r="E7" s="13" t="s">
        <v>1120</v>
      </c>
      <c r="F7" s="20" t="s">
        <v>669</v>
      </c>
      <c r="G7" s="11" t="s">
        <v>33</v>
      </c>
      <c r="H7" s="12">
        <v>44990</v>
      </c>
      <c r="I7" s="12"/>
      <c r="J7" s="17"/>
      <c r="K7" s="13" t="s">
        <v>1127</v>
      </c>
      <c r="L7" s="41"/>
      <c r="M7" s="41"/>
      <c r="N7" s="41"/>
      <c r="O7" s="17"/>
      <c r="P7" s="33" t="s">
        <v>672</v>
      </c>
      <c r="Q7" s="13" t="s">
        <v>1122</v>
      </c>
    </row>
    <row r="8" spans="1:17" hidden="1" x14ac:dyDescent="0.35">
      <c r="A8" s="2" t="s">
        <v>1128</v>
      </c>
      <c r="B8" s="3">
        <v>45212</v>
      </c>
      <c r="C8" s="2" t="s">
        <v>51</v>
      </c>
      <c r="D8" s="2" t="s">
        <v>719</v>
      </c>
      <c r="E8" s="4" t="s">
        <v>1129</v>
      </c>
      <c r="F8" s="33" t="s">
        <v>680</v>
      </c>
      <c r="G8" s="2" t="s">
        <v>33</v>
      </c>
      <c r="H8" s="3">
        <v>45225</v>
      </c>
      <c r="I8" s="3">
        <v>45226</v>
      </c>
      <c r="J8" s="8">
        <v>8.6</v>
      </c>
      <c r="K8" s="4" t="s">
        <v>1121</v>
      </c>
      <c r="L8" s="39">
        <v>760.92</v>
      </c>
      <c r="M8" s="39">
        <v>936.59</v>
      </c>
      <c r="N8" s="39">
        <v>1697.51</v>
      </c>
      <c r="O8" s="8">
        <v>0.5</v>
      </c>
      <c r="P8" s="10" t="s">
        <v>1118</v>
      </c>
      <c r="Q8" s="4"/>
    </row>
    <row r="9" spans="1:17" x14ac:dyDescent="0.35">
      <c r="A9" s="11" t="s">
        <v>1130</v>
      </c>
      <c r="B9" s="12">
        <v>44934</v>
      </c>
      <c r="C9" s="11" t="s">
        <v>42</v>
      </c>
      <c r="D9" s="11" t="s">
        <v>471</v>
      </c>
      <c r="E9" s="13" t="s">
        <v>1129</v>
      </c>
      <c r="F9" s="20" t="s">
        <v>669</v>
      </c>
      <c r="G9" s="11" t="s">
        <v>26</v>
      </c>
      <c r="H9" s="12">
        <v>44941</v>
      </c>
      <c r="I9" s="12">
        <v>44944</v>
      </c>
      <c r="J9" s="17">
        <v>16.5</v>
      </c>
      <c r="K9" s="13" t="s">
        <v>1113</v>
      </c>
      <c r="L9" s="41">
        <v>1394.27</v>
      </c>
      <c r="M9" s="41">
        <v>3151.24</v>
      </c>
      <c r="N9" s="41">
        <v>4545.51</v>
      </c>
      <c r="O9" s="17">
        <v>4.5999999999999996</v>
      </c>
      <c r="P9" s="10" t="s">
        <v>1118</v>
      </c>
      <c r="Q9" s="13"/>
    </row>
    <row r="10" spans="1:17" x14ac:dyDescent="0.35">
      <c r="A10" s="2" t="s">
        <v>1131</v>
      </c>
      <c r="B10" s="3">
        <v>45161</v>
      </c>
      <c r="C10" s="2" t="s">
        <v>42</v>
      </c>
      <c r="D10" s="2" t="s">
        <v>661</v>
      </c>
      <c r="E10" s="4" t="s">
        <v>1129</v>
      </c>
      <c r="F10" s="35" t="s">
        <v>675</v>
      </c>
      <c r="G10" s="2" t="s">
        <v>44</v>
      </c>
      <c r="H10" s="3">
        <v>45171</v>
      </c>
      <c r="I10" s="3"/>
      <c r="J10" s="8"/>
      <c r="K10" s="4" t="s">
        <v>1124</v>
      </c>
      <c r="L10" s="39"/>
      <c r="M10" s="39"/>
      <c r="N10" s="39"/>
      <c r="O10" s="8"/>
      <c r="P10" s="33" t="s">
        <v>672</v>
      </c>
      <c r="Q10" s="4" t="s">
        <v>1122</v>
      </c>
    </row>
    <row r="11" spans="1:17" hidden="1" x14ac:dyDescent="0.35">
      <c r="A11" s="11" t="s">
        <v>1132</v>
      </c>
      <c r="B11" s="12">
        <v>45120</v>
      </c>
      <c r="C11" s="11" t="s">
        <v>31</v>
      </c>
      <c r="D11" s="11" t="s">
        <v>713</v>
      </c>
      <c r="E11" s="13" t="s">
        <v>1120</v>
      </c>
      <c r="F11" s="33" t="s">
        <v>680</v>
      </c>
      <c r="G11" s="11" t="s">
        <v>55</v>
      </c>
      <c r="H11" s="12">
        <v>45124</v>
      </c>
      <c r="I11" s="12"/>
      <c r="J11" s="17"/>
      <c r="K11" s="13" t="s">
        <v>1133</v>
      </c>
      <c r="L11" s="41"/>
      <c r="M11" s="41"/>
      <c r="N11" s="41"/>
      <c r="O11" s="17"/>
      <c r="P11" s="33" t="s">
        <v>672</v>
      </c>
      <c r="Q11" s="13" t="s">
        <v>1122</v>
      </c>
    </row>
    <row r="12" spans="1:17" hidden="1" x14ac:dyDescent="0.35">
      <c r="A12" s="2" t="s">
        <v>1134</v>
      </c>
      <c r="B12" s="3">
        <v>44932</v>
      </c>
      <c r="C12" s="2" t="s">
        <v>51</v>
      </c>
      <c r="D12" s="2" t="s">
        <v>490</v>
      </c>
      <c r="E12" s="4" t="s">
        <v>1135</v>
      </c>
      <c r="F12" s="10" t="s">
        <v>663</v>
      </c>
      <c r="G12" s="2" t="s">
        <v>44</v>
      </c>
      <c r="H12" s="3">
        <v>44941</v>
      </c>
      <c r="I12" s="3"/>
      <c r="J12" s="8"/>
      <c r="K12" s="4" t="s">
        <v>1136</v>
      </c>
      <c r="L12" s="39"/>
      <c r="M12" s="39"/>
      <c r="N12" s="39"/>
      <c r="O12" s="8"/>
      <c r="P12" s="37" t="s">
        <v>1114</v>
      </c>
      <c r="Q12" s="4" t="s">
        <v>1137</v>
      </c>
    </row>
    <row r="13" spans="1:17" hidden="1" x14ac:dyDescent="0.35">
      <c r="A13" s="11" t="s">
        <v>1138</v>
      </c>
      <c r="B13" s="12">
        <v>45259</v>
      </c>
      <c r="C13" s="11" t="s">
        <v>42</v>
      </c>
      <c r="D13" s="11" t="s">
        <v>725</v>
      </c>
      <c r="E13" s="13" t="s">
        <v>1112</v>
      </c>
      <c r="F13" s="10" t="s">
        <v>663</v>
      </c>
      <c r="G13" s="11" t="s">
        <v>44</v>
      </c>
      <c r="H13" s="12">
        <v>45261</v>
      </c>
      <c r="I13" s="12">
        <v>45263</v>
      </c>
      <c r="J13" s="17">
        <v>14.9</v>
      </c>
      <c r="K13" s="13" t="s">
        <v>1139</v>
      </c>
      <c r="L13" s="41">
        <v>1100.29</v>
      </c>
      <c r="M13" s="41">
        <v>369.6</v>
      </c>
      <c r="N13" s="41">
        <v>1469.89</v>
      </c>
      <c r="O13" s="17">
        <v>7.5</v>
      </c>
      <c r="P13" s="10" t="s">
        <v>1118</v>
      </c>
      <c r="Q13" s="13"/>
    </row>
    <row r="14" spans="1:17" hidden="1" x14ac:dyDescent="0.35">
      <c r="A14" s="2" t="s">
        <v>1140</v>
      </c>
      <c r="B14" s="3">
        <v>45082</v>
      </c>
      <c r="C14" s="2" t="s">
        <v>31</v>
      </c>
      <c r="D14" s="2" t="s">
        <v>490</v>
      </c>
      <c r="E14" s="4" t="s">
        <v>1112</v>
      </c>
      <c r="F14" s="33" t="s">
        <v>680</v>
      </c>
      <c r="G14" s="2" t="s">
        <v>55</v>
      </c>
      <c r="H14" s="3">
        <v>45091</v>
      </c>
      <c r="I14" s="3">
        <v>45093</v>
      </c>
      <c r="J14" s="8">
        <v>2</v>
      </c>
      <c r="K14" s="4" t="s">
        <v>1136</v>
      </c>
      <c r="L14" s="39">
        <v>142.94</v>
      </c>
      <c r="M14" s="39">
        <v>560.84</v>
      </c>
      <c r="N14" s="39">
        <v>703.78</v>
      </c>
      <c r="O14" s="8">
        <v>1</v>
      </c>
      <c r="P14" s="10" t="s">
        <v>1118</v>
      </c>
      <c r="Q14" s="4"/>
    </row>
    <row r="15" spans="1:17" x14ac:dyDescent="0.35">
      <c r="A15" s="11" t="s">
        <v>1141</v>
      </c>
      <c r="B15" s="12">
        <v>45137</v>
      </c>
      <c r="C15" s="11" t="s">
        <v>42</v>
      </c>
      <c r="D15" s="11" t="s">
        <v>684</v>
      </c>
      <c r="E15" s="13" t="s">
        <v>1120</v>
      </c>
      <c r="F15" s="35" t="s">
        <v>675</v>
      </c>
      <c r="G15" s="11" t="s">
        <v>26</v>
      </c>
      <c r="H15" s="12">
        <v>45141</v>
      </c>
      <c r="I15" s="12">
        <v>45141</v>
      </c>
      <c r="J15" s="17">
        <v>5.4</v>
      </c>
      <c r="K15" s="13" t="s">
        <v>1142</v>
      </c>
      <c r="L15" s="41">
        <v>417.34</v>
      </c>
      <c r="M15" s="41">
        <v>753.3</v>
      </c>
      <c r="N15" s="41">
        <v>1170.6400000000001</v>
      </c>
      <c r="O15" s="17">
        <v>0.9</v>
      </c>
      <c r="P15" s="10" t="s">
        <v>1118</v>
      </c>
      <c r="Q15" s="13"/>
    </row>
    <row r="16" spans="1:17" hidden="1" x14ac:dyDescent="0.35">
      <c r="A16" s="2" t="s">
        <v>1143</v>
      </c>
      <c r="B16" s="3">
        <v>45245</v>
      </c>
      <c r="C16" s="2" t="s">
        <v>23</v>
      </c>
      <c r="D16" s="2" t="s">
        <v>725</v>
      </c>
      <c r="E16" s="4" t="s">
        <v>1112</v>
      </c>
      <c r="F16" s="10" t="s">
        <v>663</v>
      </c>
      <c r="G16" s="2" t="s">
        <v>33</v>
      </c>
      <c r="H16" s="3">
        <v>45246</v>
      </c>
      <c r="I16" s="3">
        <v>45246</v>
      </c>
      <c r="J16" s="8">
        <v>14.8</v>
      </c>
      <c r="K16" s="4" t="s">
        <v>1139</v>
      </c>
      <c r="L16" s="39">
        <v>980.05</v>
      </c>
      <c r="M16" s="39">
        <v>2454.7199999999998</v>
      </c>
      <c r="N16" s="39">
        <v>3434.77</v>
      </c>
      <c r="O16" s="8">
        <v>0.1</v>
      </c>
      <c r="P16" s="10" t="s">
        <v>1118</v>
      </c>
      <c r="Q16" s="4"/>
    </row>
    <row r="17" spans="1:17" hidden="1" x14ac:dyDescent="0.35">
      <c r="A17" s="11" t="s">
        <v>1144</v>
      </c>
      <c r="B17" s="12">
        <v>45159</v>
      </c>
      <c r="C17" s="11" t="s">
        <v>51</v>
      </c>
      <c r="D17" s="11" t="s">
        <v>719</v>
      </c>
      <c r="E17" s="13" t="s">
        <v>1120</v>
      </c>
      <c r="F17" s="33" t="s">
        <v>680</v>
      </c>
      <c r="G17" s="11" t="s">
        <v>59</v>
      </c>
      <c r="H17" s="12">
        <v>45173</v>
      </c>
      <c r="I17" s="12">
        <v>45175</v>
      </c>
      <c r="J17" s="17">
        <v>2.6</v>
      </c>
      <c r="K17" s="13" t="s">
        <v>1124</v>
      </c>
      <c r="L17" s="41">
        <v>197.29</v>
      </c>
      <c r="M17" s="41">
        <v>510.97</v>
      </c>
      <c r="N17" s="41">
        <v>708.26</v>
      </c>
      <c r="O17" s="17">
        <v>0.5</v>
      </c>
      <c r="P17" s="10" t="s">
        <v>1118</v>
      </c>
      <c r="Q17" s="13"/>
    </row>
    <row r="18" spans="1:17" hidden="1" x14ac:dyDescent="0.35">
      <c r="A18" s="2" t="s">
        <v>1145</v>
      </c>
      <c r="B18" s="3">
        <v>45048</v>
      </c>
      <c r="C18" s="2" t="s">
        <v>51</v>
      </c>
      <c r="D18" s="2" t="s">
        <v>710</v>
      </c>
      <c r="E18" s="4" t="s">
        <v>1129</v>
      </c>
      <c r="F18" s="33" t="s">
        <v>680</v>
      </c>
      <c r="G18" s="2" t="s">
        <v>26</v>
      </c>
      <c r="H18" s="3">
        <v>45050</v>
      </c>
      <c r="I18" s="3"/>
      <c r="J18" s="8"/>
      <c r="K18" s="4" t="s">
        <v>1113</v>
      </c>
      <c r="L18" s="39"/>
      <c r="M18" s="39"/>
      <c r="N18" s="39"/>
      <c r="O18" s="8"/>
      <c r="P18" s="37" t="s">
        <v>1114</v>
      </c>
      <c r="Q18" s="4" t="s">
        <v>1115</v>
      </c>
    </row>
    <row r="19" spans="1:17" x14ac:dyDescent="0.35">
      <c r="A19" s="11" t="s">
        <v>1146</v>
      </c>
      <c r="B19" s="12">
        <v>45064</v>
      </c>
      <c r="C19" s="11" t="s">
        <v>42</v>
      </c>
      <c r="D19" s="11" t="s">
        <v>691</v>
      </c>
      <c r="E19" s="13" t="s">
        <v>1112</v>
      </c>
      <c r="F19" s="20" t="s">
        <v>669</v>
      </c>
      <c r="G19" s="11" t="s">
        <v>44</v>
      </c>
      <c r="H19" s="12">
        <v>45065</v>
      </c>
      <c r="I19" s="12">
        <v>45066</v>
      </c>
      <c r="J19" s="17">
        <v>7.5</v>
      </c>
      <c r="K19" s="13" t="s">
        <v>1142</v>
      </c>
      <c r="L19" s="41">
        <v>555.44000000000005</v>
      </c>
      <c r="M19" s="41">
        <v>445.74</v>
      </c>
      <c r="N19" s="41">
        <v>1001.18</v>
      </c>
      <c r="O19" s="17">
        <v>0.3</v>
      </c>
      <c r="P19" s="10" t="s">
        <v>1118</v>
      </c>
      <c r="Q19" s="13"/>
    </row>
    <row r="20" spans="1:17" hidden="1" x14ac:dyDescent="0.35">
      <c r="A20" s="2" t="s">
        <v>1147</v>
      </c>
      <c r="B20" s="3">
        <v>45081</v>
      </c>
      <c r="C20" s="2" t="s">
        <v>51</v>
      </c>
      <c r="D20" s="2" t="s">
        <v>710</v>
      </c>
      <c r="E20" s="4" t="s">
        <v>1135</v>
      </c>
      <c r="F20" s="33" t="s">
        <v>680</v>
      </c>
      <c r="G20" s="2" t="s">
        <v>44</v>
      </c>
      <c r="H20" s="3">
        <v>45091</v>
      </c>
      <c r="I20" s="3">
        <v>45096</v>
      </c>
      <c r="J20" s="8">
        <v>6.7</v>
      </c>
      <c r="K20" s="4" t="s">
        <v>1113</v>
      </c>
      <c r="L20" s="39">
        <v>581.57000000000005</v>
      </c>
      <c r="M20" s="39">
        <v>2828.79</v>
      </c>
      <c r="N20" s="39">
        <v>3410.36</v>
      </c>
      <c r="O20" s="8">
        <v>1</v>
      </c>
      <c r="P20" s="10" t="s">
        <v>1118</v>
      </c>
      <c r="Q20" s="4" t="s">
        <v>1137</v>
      </c>
    </row>
    <row r="21" spans="1:17" x14ac:dyDescent="0.35">
      <c r="A21" s="11" t="s">
        <v>1148</v>
      </c>
      <c r="B21" s="12">
        <v>45006</v>
      </c>
      <c r="C21" s="11" t="s">
        <v>31</v>
      </c>
      <c r="D21" s="11" t="s">
        <v>719</v>
      </c>
      <c r="E21" s="13" t="s">
        <v>1129</v>
      </c>
      <c r="F21" s="20" t="s">
        <v>669</v>
      </c>
      <c r="G21" s="11" t="s">
        <v>26</v>
      </c>
      <c r="H21" s="12">
        <v>45012</v>
      </c>
      <c r="I21" s="12">
        <v>45014</v>
      </c>
      <c r="J21" s="17">
        <v>6.5</v>
      </c>
      <c r="K21" s="13" t="s">
        <v>1113</v>
      </c>
      <c r="L21" s="41">
        <v>557.44000000000005</v>
      </c>
      <c r="M21" s="41">
        <v>3403.44</v>
      </c>
      <c r="N21" s="41">
        <v>3960.88</v>
      </c>
      <c r="O21" s="17">
        <v>2.7</v>
      </c>
      <c r="P21" s="10" t="s">
        <v>1118</v>
      </c>
      <c r="Q21" s="13"/>
    </row>
    <row r="22" spans="1:17" hidden="1" x14ac:dyDescent="0.35">
      <c r="A22" s="2" t="s">
        <v>1149</v>
      </c>
      <c r="B22" s="3">
        <v>45030</v>
      </c>
      <c r="C22" s="2" t="s">
        <v>51</v>
      </c>
      <c r="D22" s="2" t="s">
        <v>661</v>
      </c>
      <c r="E22" s="4" t="s">
        <v>1129</v>
      </c>
      <c r="F22" s="33" t="s">
        <v>680</v>
      </c>
      <c r="G22" s="2" t="s">
        <v>44</v>
      </c>
      <c r="H22" s="3">
        <v>45034</v>
      </c>
      <c r="I22" s="3">
        <v>45034</v>
      </c>
      <c r="J22" s="8">
        <v>15.2</v>
      </c>
      <c r="K22" s="4" t="s">
        <v>1124</v>
      </c>
      <c r="L22" s="39">
        <v>1077.47</v>
      </c>
      <c r="M22" s="39">
        <v>1667.6</v>
      </c>
      <c r="N22" s="39">
        <v>2745.07</v>
      </c>
      <c r="O22" s="8">
        <v>5.0999999999999996</v>
      </c>
      <c r="P22" s="10" t="s">
        <v>1118</v>
      </c>
      <c r="Q22" s="4"/>
    </row>
    <row r="23" spans="1:17" hidden="1" x14ac:dyDescent="0.35">
      <c r="A23" s="11" t="s">
        <v>1150</v>
      </c>
      <c r="B23" s="12">
        <v>45129</v>
      </c>
      <c r="C23" s="11" t="s">
        <v>23</v>
      </c>
      <c r="D23" s="11" t="s">
        <v>490</v>
      </c>
      <c r="E23" s="13" t="s">
        <v>1129</v>
      </c>
      <c r="F23" s="10" t="s">
        <v>663</v>
      </c>
      <c r="G23" s="11" t="s">
        <v>44</v>
      </c>
      <c r="H23" s="12">
        <v>45138</v>
      </c>
      <c r="I23" s="12"/>
      <c r="J23" s="17"/>
      <c r="K23" s="13" t="s">
        <v>1133</v>
      </c>
      <c r="L23" s="41"/>
      <c r="M23" s="41"/>
      <c r="N23" s="41"/>
      <c r="O23" s="17"/>
      <c r="P23" s="37" t="s">
        <v>1114</v>
      </c>
      <c r="Q23" s="13" t="s">
        <v>1115</v>
      </c>
    </row>
    <row r="24" spans="1:17" x14ac:dyDescent="0.35">
      <c r="A24" s="2" t="s">
        <v>1151</v>
      </c>
      <c r="B24" s="3">
        <v>45144</v>
      </c>
      <c r="C24" s="2" t="s">
        <v>23</v>
      </c>
      <c r="D24" s="2" t="s">
        <v>482</v>
      </c>
      <c r="E24" s="4" t="s">
        <v>1135</v>
      </c>
      <c r="F24" s="35" t="s">
        <v>675</v>
      </c>
      <c r="G24" s="2" t="s">
        <v>33</v>
      </c>
      <c r="H24" s="3">
        <v>45154</v>
      </c>
      <c r="I24" s="3">
        <v>45157</v>
      </c>
      <c r="J24" s="8">
        <v>1.2</v>
      </c>
      <c r="K24" s="4" t="s">
        <v>1136</v>
      </c>
      <c r="L24" s="39">
        <v>102.17</v>
      </c>
      <c r="M24" s="39">
        <v>3314.75</v>
      </c>
      <c r="N24" s="39">
        <v>3416.92</v>
      </c>
      <c r="O24" s="8">
        <v>0.1</v>
      </c>
      <c r="P24" s="10" t="s">
        <v>1118</v>
      </c>
      <c r="Q24" s="4" t="s">
        <v>1137</v>
      </c>
    </row>
    <row r="25" spans="1:17" hidden="1" x14ac:dyDescent="0.35">
      <c r="A25" s="11" t="s">
        <v>1152</v>
      </c>
      <c r="B25" s="12">
        <v>45129</v>
      </c>
      <c r="C25" s="11" t="s">
        <v>97</v>
      </c>
      <c r="D25" s="11" t="s">
        <v>725</v>
      </c>
      <c r="E25" s="13" t="s">
        <v>1135</v>
      </c>
      <c r="F25" s="10" t="s">
        <v>663</v>
      </c>
      <c r="G25" s="11" t="s">
        <v>33</v>
      </c>
      <c r="H25" s="12">
        <v>45136</v>
      </c>
      <c r="I25" s="12">
        <v>45139</v>
      </c>
      <c r="J25" s="17">
        <v>11.3</v>
      </c>
      <c r="K25" s="13" t="s">
        <v>1124</v>
      </c>
      <c r="L25" s="41">
        <v>965.94</v>
      </c>
      <c r="M25" s="41">
        <v>3315.65</v>
      </c>
      <c r="N25" s="41">
        <v>4281.59</v>
      </c>
      <c r="O25" s="17">
        <v>4.0999999999999996</v>
      </c>
      <c r="P25" s="10" t="s">
        <v>1118</v>
      </c>
      <c r="Q25" s="13" t="s">
        <v>1137</v>
      </c>
    </row>
    <row r="26" spans="1:17" hidden="1" x14ac:dyDescent="0.35">
      <c r="A26" s="2" t="s">
        <v>1153</v>
      </c>
      <c r="B26" s="3">
        <v>45106</v>
      </c>
      <c r="C26" s="2" t="s">
        <v>31</v>
      </c>
      <c r="D26" s="2" t="s">
        <v>477</v>
      </c>
      <c r="E26" s="4" t="s">
        <v>1129</v>
      </c>
      <c r="F26" s="10" t="s">
        <v>663</v>
      </c>
      <c r="G26" s="2" t="s">
        <v>44</v>
      </c>
      <c r="H26" s="3">
        <v>45113</v>
      </c>
      <c r="I26" s="3">
        <v>45115</v>
      </c>
      <c r="J26" s="8">
        <v>5.6</v>
      </c>
      <c r="K26" s="4" t="s">
        <v>1154</v>
      </c>
      <c r="L26" s="39">
        <v>454.95</v>
      </c>
      <c r="M26" s="39">
        <v>673.85</v>
      </c>
      <c r="N26" s="39">
        <v>1128.8</v>
      </c>
      <c r="O26" s="8">
        <v>3.1</v>
      </c>
      <c r="P26" s="10" t="s">
        <v>1118</v>
      </c>
      <c r="Q26" s="4"/>
    </row>
    <row r="27" spans="1:17" x14ac:dyDescent="0.35">
      <c r="A27" s="11" t="s">
        <v>1155</v>
      </c>
      <c r="B27" s="12">
        <v>45111</v>
      </c>
      <c r="C27" s="11" t="s">
        <v>97</v>
      </c>
      <c r="D27" s="11" t="s">
        <v>490</v>
      </c>
      <c r="E27" s="13" t="s">
        <v>1129</v>
      </c>
      <c r="F27" s="20" t="s">
        <v>669</v>
      </c>
      <c r="G27" s="11" t="s">
        <v>26</v>
      </c>
      <c r="H27" s="12">
        <v>45118</v>
      </c>
      <c r="I27" s="12"/>
      <c r="J27" s="17"/>
      <c r="K27" s="13" t="s">
        <v>1142</v>
      </c>
      <c r="L27" s="41"/>
      <c r="M27" s="41"/>
      <c r="N27" s="41"/>
      <c r="O27" s="17"/>
      <c r="P27" s="33" t="s">
        <v>672</v>
      </c>
      <c r="Q27" s="13" t="s">
        <v>1122</v>
      </c>
    </row>
    <row r="28" spans="1:17" hidden="1" x14ac:dyDescent="0.35">
      <c r="A28" s="2" t="s">
        <v>1156</v>
      </c>
      <c r="B28" s="3">
        <v>45094</v>
      </c>
      <c r="C28" s="2" t="s">
        <v>42</v>
      </c>
      <c r="D28" s="2" t="s">
        <v>719</v>
      </c>
      <c r="E28" s="4" t="s">
        <v>1129</v>
      </c>
      <c r="F28" s="33" t="s">
        <v>680</v>
      </c>
      <c r="G28" s="2" t="s">
        <v>26</v>
      </c>
      <c r="H28" s="3">
        <v>45101</v>
      </c>
      <c r="I28" s="3">
        <v>45104</v>
      </c>
      <c r="J28" s="8">
        <v>9.1</v>
      </c>
      <c r="K28" s="4" t="s">
        <v>1124</v>
      </c>
      <c r="L28" s="39">
        <v>800.25</v>
      </c>
      <c r="M28" s="39">
        <v>674.26</v>
      </c>
      <c r="N28" s="39">
        <v>1474.51</v>
      </c>
      <c r="O28" s="8">
        <v>3</v>
      </c>
      <c r="P28" s="10" t="s">
        <v>1118</v>
      </c>
      <c r="Q28" s="4"/>
    </row>
    <row r="29" spans="1:17" hidden="1" x14ac:dyDescent="0.35">
      <c r="A29" s="11" t="s">
        <v>1157</v>
      </c>
      <c r="B29" s="12">
        <v>45135</v>
      </c>
      <c r="C29" s="11" t="s">
        <v>97</v>
      </c>
      <c r="D29" s="11" t="s">
        <v>710</v>
      </c>
      <c r="E29" s="13" t="s">
        <v>1129</v>
      </c>
      <c r="F29" s="10" t="s">
        <v>663</v>
      </c>
      <c r="G29" s="11" t="s">
        <v>59</v>
      </c>
      <c r="H29" s="12">
        <v>45138</v>
      </c>
      <c r="I29" s="12"/>
      <c r="J29" s="17"/>
      <c r="K29" s="13" t="s">
        <v>1127</v>
      </c>
      <c r="L29" s="41"/>
      <c r="M29" s="41"/>
      <c r="N29" s="41"/>
      <c r="O29" s="17"/>
      <c r="P29" s="37" t="s">
        <v>1114</v>
      </c>
      <c r="Q29" s="13" t="s">
        <v>1115</v>
      </c>
    </row>
    <row r="30" spans="1:17" x14ac:dyDescent="0.35">
      <c r="A30" s="2" t="s">
        <v>1158</v>
      </c>
      <c r="B30" s="3">
        <v>44981</v>
      </c>
      <c r="C30" s="2" t="s">
        <v>97</v>
      </c>
      <c r="D30" s="2" t="s">
        <v>713</v>
      </c>
      <c r="E30" s="4" t="s">
        <v>1112</v>
      </c>
      <c r="F30" s="20" t="s">
        <v>669</v>
      </c>
      <c r="G30" s="2" t="s">
        <v>33</v>
      </c>
      <c r="H30" s="3">
        <v>44983</v>
      </c>
      <c r="I30" s="3"/>
      <c r="J30" s="8"/>
      <c r="K30" s="4" t="s">
        <v>1154</v>
      </c>
      <c r="L30" s="39"/>
      <c r="M30" s="39"/>
      <c r="N30" s="39"/>
      <c r="O30" s="8"/>
      <c r="P30" s="37" t="s">
        <v>1114</v>
      </c>
      <c r="Q30" s="4" t="s">
        <v>1115</v>
      </c>
    </row>
    <row r="31" spans="1:17" hidden="1" x14ac:dyDescent="0.35">
      <c r="A31" s="11" t="s">
        <v>1159</v>
      </c>
      <c r="B31" s="12">
        <v>45203</v>
      </c>
      <c r="C31" s="11" t="s">
        <v>97</v>
      </c>
      <c r="D31" s="11" t="s">
        <v>691</v>
      </c>
      <c r="E31" s="13" t="s">
        <v>1135</v>
      </c>
      <c r="F31" s="33" t="s">
        <v>680</v>
      </c>
      <c r="G31" s="11" t="s">
        <v>55</v>
      </c>
      <c r="H31" s="12">
        <v>45205</v>
      </c>
      <c r="I31" s="12"/>
      <c r="J31" s="17"/>
      <c r="K31" s="13" t="s">
        <v>1136</v>
      </c>
      <c r="L31" s="41"/>
      <c r="M31" s="41"/>
      <c r="N31" s="41"/>
      <c r="O31" s="17"/>
      <c r="P31" s="37" t="s">
        <v>1114</v>
      </c>
      <c r="Q31" s="13" t="s">
        <v>1137</v>
      </c>
    </row>
    <row r="32" spans="1:17" hidden="1" x14ac:dyDescent="0.35">
      <c r="A32" s="2" t="s">
        <v>1160</v>
      </c>
      <c r="B32" s="3">
        <v>45103</v>
      </c>
      <c r="C32" s="2" t="s">
        <v>23</v>
      </c>
      <c r="D32" s="2" t="s">
        <v>725</v>
      </c>
      <c r="E32" s="4" t="s">
        <v>1129</v>
      </c>
      <c r="F32" s="10" t="s">
        <v>663</v>
      </c>
      <c r="G32" s="2" t="s">
        <v>33</v>
      </c>
      <c r="H32" s="3">
        <v>45109</v>
      </c>
      <c r="I32" s="3"/>
      <c r="J32" s="8"/>
      <c r="K32" s="4" t="s">
        <v>1136</v>
      </c>
      <c r="L32" s="39"/>
      <c r="M32" s="39"/>
      <c r="N32" s="39"/>
      <c r="O32" s="8"/>
      <c r="P32" s="37" t="s">
        <v>1114</v>
      </c>
      <c r="Q32" s="4" t="s">
        <v>1115</v>
      </c>
    </row>
    <row r="33" spans="1:17" hidden="1" x14ac:dyDescent="0.35">
      <c r="A33" s="11" t="s">
        <v>1161</v>
      </c>
      <c r="B33" s="12">
        <v>45191</v>
      </c>
      <c r="C33" s="11" t="s">
        <v>42</v>
      </c>
      <c r="D33" s="11" t="s">
        <v>710</v>
      </c>
      <c r="E33" s="13" t="s">
        <v>1129</v>
      </c>
      <c r="F33" s="10" t="s">
        <v>663</v>
      </c>
      <c r="G33" s="11" t="s">
        <v>59</v>
      </c>
      <c r="H33" s="12">
        <v>45193</v>
      </c>
      <c r="I33" s="12"/>
      <c r="J33" s="17"/>
      <c r="K33" s="13" t="s">
        <v>1121</v>
      </c>
      <c r="L33" s="41"/>
      <c r="M33" s="41"/>
      <c r="N33" s="41"/>
      <c r="O33" s="17"/>
      <c r="P33" s="33" t="s">
        <v>672</v>
      </c>
      <c r="Q33" s="13" t="s">
        <v>1122</v>
      </c>
    </row>
    <row r="34" spans="1:17" hidden="1" x14ac:dyDescent="0.35">
      <c r="A34" s="2" t="s">
        <v>1162</v>
      </c>
      <c r="B34" s="3">
        <v>45078</v>
      </c>
      <c r="C34" s="2" t="s">
        <v>97</v>
      </c>
      <c r="D34" s="2" t="s">
        <v>715</v>
      </c>
      <c r="E34" s="4" t="s">
        <v>1112</v>
      </c>
      <c r="F34" s="10" t="s">
        <v>663</v>
      </c>
      <c r="G34" s="2" t="s">
        <v>26</v>
      </c>
      <c r="H34" s="3">
        <v>45079</v>
      </c>
      <c r="I34" s="3"/>
      <c r="J34" s="8"/>
      <c r="K34" s="4" t="s">
        <v>1142</v>
      </c>
      <c r="L34" s="39"/>
      <c r="M34" s="39"/>
      <c r="N34" s="39"/>
      <c r="O34" s="8"/>
      <c r="P34" s="37" t="s">
        <v>1114</v>
      </c>
      <c r="Q34" s="4" t="s">
        <v>1115</v>
      </c>
    </row>
    <row r="35" spans="1:17" x14ac:dyDescent="0.35">
      <c r="A35" s="11" t="s">
        <v>1163</v>
      </c>
      <c r="B35" s="12">
        <v>45153</v>
      </c>
      <c r="C35" s="11" t="s">
        <v>23</v>
      </c>
      <c r="D35" s="11" t="s">
        <v>477</v>
      </c>
      <c r="E35" s="13" t="s">
        <v>1129</v>
      </c>
      <c r="F35" s="35" t="s">
        <v>675</v>
      </c>
      <c r="G35" s="11" t="s">
        <v>55</v>
      </c>
      <c r="H35" s="12">
        <v>45165</v>
      </c>
      <c r="I35" s="12">
        <v>45168</v>
      </c>
      <c r="J35" s="17">
        <v>7.5</v>
      </c>
      <c r="K35" s="13" t="s">
        <v>1154</v>
      </c>
      <c r="L35" s="41">
        <v>615.97</v>
      </c>
      <c r="M35" s="41">
        <v>1820.52</v>
      </c>
      <c r="N35" s="41">
        <v>2436.4899999999998</v>
      </c>
      <c r="O35" s="17">
        <v>2.5</v>
      </c>
      <c r="P35" s="10" t="s">
        <v>1118</v>
      </c>
      <c r="Q35" s="13"/>
    </row>
    <row r="36" spans="1:17" hidden="1" x14ac:dyDescent="0.35">
      <c r="A36" s="2" t="s">
        <v>1164</v>
      </c>
      <c r="B36" s="3">
        <v>44948</v>
      </c>
      <c r="C36" s="2" t="s">
        <v>51</v>
      </c>
      <c r="D36" s="2" t="s">
        <v>477</v>
      </c>
      <c r="E36" s="4" t="s">
        <v>1120</v>
      </c>
      <c r="F36" s="33" t="s">
        <v>680</v>
      </c>
      <c r="G36" s="2" t="s">
        <v>33</v>
      </c>
      <c r="H36" s="3">
        <v>44960</v>
      </c>
      <c r="I36" s="3"/>
      <c r="J36" s="8"/>
      <c r="K36" s="4" t="s">
        <v>1117</v>
      </c>
      <c r="L36" s="39"/>
      <c r="M36" s="39"/>
      <c r="N36" s="39"/>
      <c r="O36" s="8"/>
      <c r="P36" s="33" t="s">
        <v>672</v>
      </c>
      <c r="Q36" s="4" t="s">
        <v>1122</v>
      </c>
    </row>
    <row r="37" spans="1:17" hidden="1" x14ac:dyDescent="0.35">
      <c r="A37" s="11" t="s">
        <v>1165</v>
      </c>
      <c r="B37" s="12">
        <v>45077</v>
      </c>
      <c r="C37" s="11" t="s">
        <v>97</v>
      </c>
      <c r="D37" s="11" t="s">
        <v>490</v>
      </c>
      <c r="E37" s="13" t="s">
        <v>1120</v>
      </c>
      <c r="F37" s="33" t="s">
        <v>680</v>
      </c>
      <c r="G37" s="11" t="s">
        <v>44</v>
      </c>
      <c r="H37" s="12">
        <v>45087</v>
      </c>
      <c r="I37" s="12"/>
      <c r="J37" s="17"/>
      <c r="K37" s="13" t="s">
        <v>1113</v>
      </c>
      <c r="L37" s="41"/>
      <c r="M37" s="41"/>
      <c r="N37" s="41"/>
      <c r="O37" s="17"/>
      <c r="P37" s="37" t="s">
        <v>1114</v>
      </c>
      <c r="Q37" s="13" t="s">
        <v>1115</v>
      </c>
    </row>
    <row r="38" spans="1:17" hidden="1" x14ac:dyDescent="0.35">
      <c r="A38" s="2" t="s">
        <v>1166</v>
      </c>
      <c r="B38" s="3">
        <v>45092</v>
      </c>
      <c r="C38" s="2" t="s">
        <v>51</v>
      </c>
      <c r="D38" s="2" t="s">
        <v>715</v>
      </c>
      <c r="E38" s="4" t="s">
        <v>1120</v>
      </c>
      <c r="F38" s="10" t="s">
        <v>663</v>
      </c>
      <c r="G38" s="2" t="s">
        <v>26</v>
      </c>
      <c r="H38" s="3">
        <v>45098</v>
      </c>
      <c r="I38" s="3">
        <v>45103</v>
      </c>
      <c r="J38" s="8">
        <v>1.5</v>
      </c>
      <c r="K38" s="4" t="s">
        <v>1139</v>
      </c>
      <c r="L38" s="39">
        <v>117.49</v>
      </c>
      <c r="M38" s="39">
        <v>1552.86</v>
      </c>
      <c r="N38" s="39">
        <v>1670.35</v>
      </c>
      <c r="O38" s="8">
        <v>0.6</v>
      </c>
      <c r="P38" s="10" t="s">
        <v>1118</v>
      </c>
      <c r="Q38" s="4"/>
    </row>
    <row r="39" spans="1:17" hidden="1" x14ac:dyDescent="0.35">
      <c r="A39" s="11" t="s">
        <v>1167</v>
      </c>
      <c r="B39" s="12">
        <v>45270</v>
      </c>
      <c r="C39" s="11" t="s">
        <v>51</v>
      </c>
      <c r="D39" s="11" t="s">
        <v>477</v>
      </c>
      <c r="E39" s="13" t="s">
        <v>1120</v>
      </c>
      <c r="F39" s="33" t="s">
        <v>680</v>
      </c>
      <c r="G39" s="11" t="s">
        <v>59</v>
      </c>
      <c r="H39" s="12">
        <v>45281</v>
      </c>
      <c r="I39" s="12"/>
      <c r="J39" s="17"/>
      <c r="K39" s="13" t="s">
        <v>1124</v>
      </c>
      <c r="L39" s="41"/>
      <c r="M39" s="41"/>
      <c r="N39" s="41"/>
      <c r="O39" s="17"/>
      <c r="P39" s="33" t="s">
        <v>672</v>
      </c>
      <c r="Q39" s="13" t="s">
        <v>1122</v>
      </c>
    </row>
    <row r="40" spans="1:17" hidden="1" x14ac:dyDescent="0.35">
      <c r="A40" s="2" t="s">
        <v>1168</v>
      </c>
      <c r="B40" s="3">
        <v>45254</v>
      </c>
      <c r="C40" s="2" t="s">
        <v>31</v>
      </c>
      <c r="D40" s="2" t="s">
        <v>477</v>
      </c>
      <c r="E40" s="4" t="s">
        <v>1112</v>
      </c>
      <c r="F40" s="10" t="s">
        <v>663</v>
      </c>
      <c r="G40" s="2" t="s">
        <v>59</v>
      </c>
      <c r="H40" s="3">
        <v>45268</v>
      </c>
      <c r="I40" s="3">
        <v>45268</v>
      </c>
      <c r="J40" s="8">
        <v>18.2</v>
      </c>
      <c r="K40" s="4" t="s">
        <v>1139</v>
      </c>
      <c r="L40" s="39">
        <v>1530.98</v>
      </c>
      <c r="M40" s="39">
        <v>3331.69</v>
      </c>
      <c r="N40" s="39">
        <v>4862.67</v>
      </c>
      <c r="O40" s="8">
        <v>9.6</v>
      </c>
      <c r="P40" s="10" t="s">
        <v>1118</v>
      </c>
      <c r="Q40" s="4"/>
    </row>
    <row r="41" spans="1:17" hidden="1" x14ac:dyDescent="0.35">
      <c r="A41" s="11" t="s">
        <v>1169</v>
      </c>
      <c r="B41" s="12">
        <v>45085</v>
      </c>
      <c r="C41" s="11" t="s">
        <v>51</v>
      </c>
      <c r="D41" s="11" t="s">
        <v>725</v>
      </c>
      <c r="E41" s="13" t="s">
        <v>1129</v>
      </c>
      <c r="F41" s="10" t="s">
        <v>663</v>
      </c>
      <c r="G41" s="11" t="s">
        <v>26</v>
      </c>
      <c r="H41" s="12">
        <v>45094</v>
      </c>
      <c r="I41" s="12">
        <v>45097</v>
      </c>
      <c r="J41" s="17">
        <v>15.4</v>
      </c>
      <c r="K41" s="13" t="s">
        <v>1117</v>
      </c>
      <c r="L41" s="41">
        <v>1279.5999999999999</v>
      </c>
      <c r="M41" s="41">
        <v>3083.11</v>
      </c>
      <c r="N41" s="41">
        <v>4362.71</v>
      </c>
      <c r="O41" s="17">
        <v>3.5</v>
      </c>
      <c r="P41" s="10" t="s">
        <v>1118</v>
      </c>
      <c r="Q41" s="13"/>
    </row>
    <row r="42" spans="1:17" hidden="1" x14ac:dyDescent="0.35">
      <c r="A42" s="2" t="s">
        <v>1170</v>
      </c>
      <c r="B42" s="3">
        <v>45160</v>
      </c>
      <c r="C42" s="2" t="s">
        <v>31</v>
      </c>
      <c r="D42" s="2" t="s">
        <v>477</v>
      </c>
      <c r="E42" s="4" t="s">
        <v>1112</v>
      </c>
      <c r="F42" s="33" t="s">
        <v>680</v>
      </c>
      <c r="G42" s="2" t="s">
        <v>55</v>
      </c>
      <c r="H42" s="3">
        <v>45163</v>
      </c>
      <c r="I42" s="3"/>
      <c r="J42" s="8"/>
      <c r="K42" s="4" t="s">
        <v>1142</v>
      </c>
      <c r="L42" s="39"/>
      <c r="M42" s="39"/>
      <c r="N42" s="39"/>
      <c r="O42" s="8"/>
      <c r="P42" s="33" t="s">
        <v>672</v>
      </c>
      <c r="Q42" s="4" t="s">
        <v>1122</v>
      </c>
    </row>
    <row r="43" spans="1:17" hidden="1" x14ac:dyDescent="0.35">
      <c r="A43" s="11" t="s">
        <v>1171</v>
      </c>
      <c r="B43" s="12">
        <v>45130</v>
      </c>
      <c r="C43" s="11" t="s">
        <v>51</v>
      </c>
      <c r="D43" s="11" t="s">
        <v>494</v>
      </c>
      <c r="E43" s="13" t="s">
        <v>1120</v>
      </c>
      <c r="F43" s="33" t="s">
        <v>680</v>
      </c>
      <c r="G43" s="11" t="s">
        <v>26</v>
      </c>
      <c r="H43" s="12">
        <v>45134</v>
      </c>
      <c r="I43" s="12"/>
      <c r="J43" s="17"/>
      <c r="K43" s="13" t="s">
        <v>1139</v>
      </c>
      <c r="L43" s="41"/>
      <c r="M43" s="41"/>
      <c r="N43" s="41"/>
      <c r="O43" s="17"/>
      <c r="P43" s="37" t="s">
        <v>1114</v>
      </c>
      <c r="Q43" s="13" t="s">
        <v>1115</v>
      </c>
    </row>
    <row r="44" spans="1:17" hidden="1" x14ac:dyDescent="0.35">
      <c r="A44" s="2" t="s">
        <v>1172</v>
      </c>
      <c r="B44" s="3">
        <v>45210</v>
      </c>
      <c r="C44" s="2" t="s">
        <v>97</v>
      </c>
      <c r="D44" s="2" t="s">
        <v>713</v>
      </c>
      <c r="E44" s="4" t="s">
        <v>1135</v>
      </c>
      <c r="F44" s="10" t="s">
        <v>663</v>
      </c>
      <c r="G44" s="2" t="s">
        <v>44</v>
      </c>
      <c r="H44" s="3">
        <v>45220</v>
      </c>
      <c r="I44" s="3">
        <v>45220</v>
      </c>
      <c r="J44" s="8">
        <v>17.5</v>
      </c>
      <c r="K44" s="4" t="s">
        <v>1124</v>
      </c>
      <c r="L44" s="39">
        <v>1486.62</v>
      </c>
      <c r="M44" s="39">
        <v>141.91999999999999</v>
      </c>
      <c r="N44" s="39">
        <v>1628.54</v>
      </c>
      <c r="O44" s="8">
        <v>0.8</v>
      </c>
      <c r="P44" s="10" t="s">
        <v>1118</v>
      </c>
      <c r="Q44" s="4" t="s">
        <v>1137</v>
      </c>
    </row>
    <row r="45" spans="1:17" hidden="1" x14ac:dyDescent="0.35">
      <c r="A45" s="11" t="s">
        <v>1173</v>
      </c>
      <c r="B45" s="12">
        <v>44944</v>
      </c>
      <c r="C45" s="11" t="s">
        <v>31</v>
      </c>
      <c r="D45" s="11" t="s">
        <v>691</v>
      </c>
      <c r="E45" s="13" t="s">
        <v>1112</v>
      </c>
      <c r="F45" s="10" t="s">
        <v>663</v>
      </c>
      <c r="G45" s="11" t="s">
        <v>26</v>
      </c>
      <c r="H45" s="12">
        <v>44948</v>
      </c>
      <c r="I45" s="12"/>
      <c r="J45" s="17"/>
      <c r="K45" s="13" t="s">
        <v>1121</v>
      </c>
      <c r="L45" s="41"/>
      <c r="M45" s="41"/>
      <c r="N45" s="41"/>
      <c r="O45" s="17"/>
      <c r="P45" s="33" t="s">
        <v>672</v>
      </c>
      <c r="Q45" s="13" t="s">
        <v>1122</v>
      </c>
    </row>
    <row r="46" spans="1:17" x14ac:dyDescent="0.35">
      <c r="A46" s="2" t="s">
        <v>1174</v>
      </c>
      <c r="B46" s="3">
        <v>45085</v>
      </c>
      <c r="C46" s="2" t="s">
        <v>97</v>
      </c>
      <c r="D46" s="2" t="s">
        <v>661</v>
      </c>
      <c r="E46" s="4" t="s">
        <v>1129</v>
      </c>
      <c r="F46" s="35" t="s">
        <v>675</v>
      </c>
      <c r="G46" s="2" t="s">
        <v>44</v>
      </c>
      <c r="H46" s="3">
        <v>45092</v>
      </c>
      <c r="I46" s="3">
        <v>45092</v>
      </c>
      <c r="J46" s="8">
        <v>16.3</v>
      </c>
      <c r="K46" s="4" t="s">
        <v>1136</v>
      </c>
      <c r="L46" s="39">
        <v>1147.75</v>
      </c>
      <c r="M46" s="39">
        <v>918.1</v>
      </c>
      <c r="N46" s="39">
        <v>2065.85</v>
      </c>
      <c r="O46" s="8">
        <v>8.1999999999999993</v>
      </c>
      <c r="P46" s="10" t="s">
        <v>1118</v>
      </c>
      <c r="Q46" s="4"/>
    </row>
    <row r="47" spans="1:17" hidden="1" x14ac:dyDescent="0.35">
      <c r="A47" s="11" t="s">
        <v>1175</v>
      </c>
      <c r="B47" s="12">
        <v>45102</v>
      </c>
      <c r="C47" s="11" t="s">
        <v>42</v>
      </c>
      <c r="D47" s="11" t="s">
        <v>710</v>
      </c>
      <c r="E47" s="13" t="s">
        <v>1129</v>
      </c>
      <c r="F47" s="33" t="s">
        <v>680</v>
      </c>
      <c r="G47" s="11" t="s">
        <v>55</v>
      </c>
      <c r="H47" s="12">
        <v>45116</v>
      </c>
      <c r="I47" s="12">
        <v>45116</v>
      </c>
      <c r="J47" s="17">
        <v>7.3</v>
      </c>
      <c r="K47" s="13" t="s">
        <v>1117</v>
      </c>
      <c r="L47" s="41">
        <v>511.7</v>
      </c>
      <c r="M47" s="41">
        <v>1658.67</v>
      </c>
      <c r="N47" s="41">
        <v>2170.37</v>
      </c>
      <c r="O47" s="17">
        <v>1.5</v>
      </c>
      <c r="P47" s="10" t="s">
        <v>1118</v>
      </c>
      <c r="Q47" s="13"/>
    </row>
    <row r="48" spans="1:17" hidden="1" x14ac:dyDescent="0.35">
      <c r="A48" s="2" t="s">
        <v>1176</v>
      </c>
      <c r="B48" s="3">
        <v>45201</v>
      </c>
      <c r="C48" s="2" t="s">
        <v>23</v>
      </c>
      <c r="D48" s="2" t="s">
        <v>715</v>
      </c>
      <c r="E48" s="4" t="s">
        <v>1112</v>
      </c>
      <c r="F48" s="10" t="s">
        <v>663</v>
      </c>
      <c r="G48" s="2" t="s">
        <v>44</v>
      </c>
      <c r="H48" s="3">
        <v>45205</v>
      </c>
      <c r="I48" s="3"/>
      <c r="J48" s="8"/>
      <c r="K48" s="4" t="s">
        <v>1121</v>
      </c>
      <c r="L48" s="39"/>
      <c r="M48" s="39"/>
      <c r="N48" s="39"/>
      <c r="O48" s="8"/>
      <c r="P48" s="37" t="s">
        <v>1114</v>
      </c>
      <c r="Q48" s="4" t="s">
        <v>1115</v>
      </c>
    </row>
    <row r="49" spans="1:17" x14ac:dyDescent="0.35">
      <c r="A49" s="11" t="s">
        <v>1177</v>
      </c>
      <c r="B49" s="12">
        <v>45047</v>
      </c>
      <c r="C49" s="11" t="s">
        <v>97</v>
      </c>
      <c r="D49" s="11" t="s">
        <v>471</v>
      </c>
      <c r="E49" s="13" t="s">
        <v>1135</v>
      </c>
      <c r="F49" s="20" t="s">
        <v>669</v>
      </c>
      <c r="G49" s="11" t="s">
        <v>26</v>
      </c>
      <c r="H49" s="12">
        <v>45058</v>
      </c>
      <c r="I49" s="12">
        <v>45058</v>
      </c>
      <c r="J49" s="17">
        <v>10.4</v>
      </c>
      <c r="K49" s="13" t="s">
        <v>1124</v>
      </c>
      <c r="L49" s="41">
        <v>953.18</v>
      </c>
      <c r="M49" s="41">
        <v>3261.99</v>
      </c>
      <c r="N49" s="41">
        <v>4215.17</v>
      </c>
      <c r="O49" s="17">
        <v>3.2</v>
      </c>
      <c r="P49" s="10" t="s">
        <v>1118</v>
      </c>
      <c r="Q49" s="13" t="s">
        <v>1137</v>
      </c>
    </row>
    <row r="50" spans="1:17" x14ac:dyDescent="0.35">
      <c r="A50" s="2" t="s">
        <v>1178</v>
      </c>
      <c r="B50" s="3">
        <v>44941</v>
      </c>
      <c r="C50" s="2" t="s">
        <v>51</v>
      </c>
      <c r="D50" s="2" t="s">
        <v>713</v>
      </c>
      <c r="E50" s="4" t="s">
        <v>1112</v>
      </c>
      <c r="F50" s="35" t="s">
        <v>675</v>
      </c>
      <c r="G50" s="2" t="s">
        <v>33</v>
      </c>
      <c r="H50" s="3">
        <v>44954</v>
      </c>
      <c r="I50" s="3">
        <v>44954</v>
      </c>
      <c r="J50" s="8">
        <v>2.4</v>
      </c>
      <c r="K50" s="4" t="s">
        <v>1142</v>
      </c>
      <c r="L50" s="39">
        <v>205.18</v>
      </c>
      <c r="M50" s="39">
        <v>1675.88</v>
      </c>
      <c r="N50" s="39">
        <v>1881.06</v>
      </c>
      <c r="O50" s="8">
        <v>0.5</v>
      </c>
      <c r="P50" s="10" t="s">
        <v>1118</v>
      </c>
      <c r="Q50" s="4"/>
    </row>
    <row r="51" spans="1:17" x14ac:dyDescent="0.35">
      <c r="A51" s="11" t="s">
        <v>1179</v>
      </c>
      <c r="B51" s="12">
        <v>44929</v>
      </c>
      <c r="C51" s="11" t="s">
        <v>97</v>
      </c>
      <c r="D51" s="11" t="s">
        <v>719</v>
      </c>
      <c r="E51" s="13" t="s">
        <v>1129</v>
      </c>
      <c r="F51" s="35" t="s">
        <v>675</v>
      </c>
      <c r="G51" s="11" t="s">
        <v>44</v>
      </c>
      <c r="H51" s="12">
        <v>44936</v>
      </c>
      <c r="I51" s="12">
        <v>44936</v>
      </c>
      <c r="J51" s="17">
        <v>7.7</v>
      </c>
      <c r="K51" s="13" t="s">
        <v>1124</v>
      </c>
      <c r="L51" s="41">
        <v>530.75</v>
      </c>
      <c r="M51" s="41">
        <v>694.97</v>
      </c>
      <c r="N51" s="41">
        <v>1225.72</v>
      </c>
      <c r="O51" s="17">
        <v>2.9</v>
      </c>
      <c r="P51" s="10" t="s">
        <v>1118</v>
      </c>
      <c r="Q51" s="13"/>
    </row>
    <row r="52" spans="1:17" hidden="1" x14ac:dyDescent="0.35">
      <c r="A52" s="2" t="s">
        <v>1180</v>
      </c>
      <c r="B52" s="3">
        <v>44960</v>
      </c>
      <c r="C52" s="2" t="s">
        <v>31</v>
      </c>
      <c r="D52" s="2" t="s">
        <v>684</v>
      </c>
      <c r="E52" s="4" t="s">
        <v>1135</v>
      </c>
      <c r="F52" s="33" t="s">
        <v>680</v>
      </c>
      <c r="G52" s="2" t="s">
        <v>26</v>
      </c>
      <c r="H52" s="3">
        <v>44971</v>
      </c>
      <c r="I52" s="3">
        <v>44971</v>
      </c>
      <c r="J52" s="8">
        <v>13.7</v>
      </c>
      <c r="K52" s="4" t="s">
        <v>1113</v>
      </c>
      <c r="L52" s="39">
        <v>1270.31</v>
      </c>
      <c r="M52" s="39">
        <v>831.46</v>
      </c>
      <c r="N52" s="39">
        <v>2101.77</v>
      </c>
      <c r="O52" s="8">
        <v>2.4</v>
      </c>
      <c r="P52" s="10" t="s">
        <v>1118</v>
      </c>
      <c r="Q52" s="4" t="s">
        <v>1137</v>
      </c>
    </row>
    <row r="53" spans="1:17" x14ac:dyDescent="0.35">
      <c r="A53" s="11" t="s">
        <v>1181</v>
      </c>
      <c r="B53" s="12">
        <v>45272</v>
      </c>
      <c r="C53" s="11" t="s">
        <v>31</v>
      </c>
      <c r="D53" s="11" t="s">
        <v>691</v>
      </c>
      <c r="E53" s="13" t="s">
        <v>1135</v>
      </c>
      <c r="F53" s="35" t="s">
        <v>675</v>
      </c>
      <c r="G53" s="11" t="s">
        <v>33</v>
      </c>
      <c r="H53" s="12">
        <v>45278</v>
      </c>
      <c r="I53" s="12">
        <v>45279</v>
      </c>
      <c r="J53" s="17">
        <v>8.5</v>
      </c>
      <c r="K53" s="13" t="s">
        <v>1127</v>
      </c>
      <c r="L53" s="41">
        <v>749.49</v>
      </c>
      <c r="M53" s="41">
        <v>1419.41</v>
      </c>
      <c r="N53" s="41">
        <v>2168.9</v>
      </c>
      <c r="O53" s="17">
        <v>4</v>
      </c>
      <c r="P53" s="10" t="s">
        <v>1118</v>
      </c>
      <c r="Q53" s="13" t="s">
        <v>1137</v>
      </c>
    </row>
    <row r="54" spans="1:17" hidden="1" x14ac:dyDescent="0.35">
      <c r="A54" s="2" t="s">
        <v>1182</v>
      </c>
      <c r="B54" s="3">
        <v>45235</v>
      </c>
      <c r="C54" s="2" t="s">
        <v>23</v>
      </c>
      <c r="D54" s="2" t="s">
        <v>471</v>
      </c>
      <c r="E54" s="4" t="s">
        <v>1120</v>
      </c>
      <c r="F54" s="33" t="s">
        <v>680</v>
      </c>
      <c r="G54" s="2" t="s">
        <v>44</v>
      </c>
      <c r="H54" s="3">
        <v>45243</v>
      </c>
      <c r="I54" s="3"/>
      <c r="J54" s="8"/>
      <c r="K54" s="4" t="s">
        <v>1154</v>
      </c>
      <c r="L54" s="39"/>
      <c r="M54" s="39"/>
      <c r="N54" s="39"/>
      <c r="O54" s="8"/>
      <c r="P54" s="37" t="s">
        <v>1114</v>
      </c>
      <c r="Q54" s="4" t="s">
        <v>1115</v>
      </c>
    </row>
    <row r="55" spans="1:17" hidden="1" x14ac:dyDescent="0.35">
      <c r="A55" s="11" t="s">
        <v>1183</v>
      </c>
      <c r="B55" s="12">
        <v>45234</v>
      </c>
      <c r="C55" s="11" t="s">
        <v>31</v>
      </c>
      <c r="D55" s="11" t="s">
        <v>713</v>
      </c>
      <c r="E55" s="13" t="s">
        <v>1112</v>
      </c>
      <c r="F55" s="10" t="s">
        <v>663</v>
      </c>
      <c r="G55" s="11" t="s">
        <v>33</v>
      </c>
      <c r="H55" s="12">
        <v>45240</v>
      </c>
      <c r="I55" s="12">
        <v>45241</v>
      </c>
      <c r="J55" s="17">
        <v>13</v>
      </c>
      <c r="K55" s="13" t="s">
        <v>1142</v>
      </c>
      <c r="L55" s="41">
        <v>857.73</v>
      </c>
      <c r="M55" s="41">
        <v>2926.86</v>
      </c>
      <c r="N55" s="41">
        <v>3784.59</v>
      </c>
      <c r="O55" s="17">
        <v>3</v>
      </c>
      <c r="P55" s="10" t="s">
        <v>1118</v>
      </c>
      <c r="Q55" s="13"/>
    </row>
    <row r="56" spans="1:17" x14ac:dyDescent="0.35">
      <c r="A56" s="2" t="s">
        <v>1184</v>
      </c>
      <c r="B56" s="3">
        <v>45236</v>
      </c>
      <c r="C56" s="2" t="s">
        <v>31</v>
      </c>
      <c r="D56" s="2" t="s">
        <v>482</v>
      </c>
      <c r="E56" s="4" t="s">
        <v>1129</v>
      </c>
      <c r="F56" s="20" t="s">
        <v>669</v>
      </c>
      <c r="G56" s="2" t="s">
        <v>26</v>
      </c>
      <c r="H56" s="3">
        <v>45238</v>
      </c>
      <c r="I56" s="3">
        <v>45241</v>
      </c>
      <c r="J56" s="8">
        <v>9.1</v>
      </c>
      <c r="K56" s="4" t="s">
        <v>1142</v>
      </c>
      <c r="L56" s="39">
        <v>801.75</v>
      </c>
      <c r="M56" s="39">
        <v>1805.17</v>
      </c>
      <c r="N56" s="39">
        <v>2606.92</v>
      </c>
      <c r="O56" s="8">
        <v>0.8</v>
      </c>
      <c r="P56" s="10" t="s">
        <v>1118</v>
      </c>
      <c r="Q56" s="4"/>
    </row>
    <row r="57" spans="1:17" hidden="1" x14ac:dyDescent="0.35">
      <c r="A57" s="11" t="s">
        <v>1185</v>
      </c>
      <c r="B57" s="12">
        <v>45217</v>
      </c>
      <c r="C57" s="11" t="s">
        <v>51</v>
      </c>
      <c r="D57" s="11" t="s">
        <v>471</v>
      </c>
      <c r="E57" s="13" t="s">
        <v>1112</v>
      </c>
      <c r="F57" s="10" t="s">
        <v>663</v>
      </c>
      <c r="G57" s="11" t="s">
        <v>44</v>
      </c>
      <c r="H57" s="12">
        <v>45227</v>
      </c>
      <c r="I57" s="12"/>
      <c r="J57" s="17"/>
      <c r="K57" s="13" t="s">
        <v>1139</v>
      </c>
      <c r="L57" s="41"/>
      <c r="M57" s="41"/>
      <c r="N57" s="41"/>
      <c r="O57" s="17"/>
      <c r="P57" s="33" t="s">
        <v>672</v>
      </c>
      <c r="Q57" s="13" t="s">
        <v>1122</v>
      </c>
    </row>
    <row r="58" spans="1:17" hidden="1" x14ac:dyDescent="0.35">
      <c r="A58" s="2" t="s">
        <v>1186</v>
      </c>
      <c r="B58" s="3">
        <v>45102</v>
      </c>
      <c r="C58" s="2" t="s">
        <v>23</v>
      </c>
      <c r="D58" s="2" t="s">
        <v>471</v>
      </c>
      <c r="E58" s="4" t="s">
        <v>1135</v>
      </c>
      <c r="F58" s="33" t="s">
        <v>680</v>
      </c>
      <c r="G58" s="2" t="s">
        <v>55</v>
      </c>
      <c r="H58" s="3">
        <v>45113</v>
      </c>
      <c r="I58" s="3">
        <v>45113</v>
      </c>
      <c r="J58" s="8">
        <v>1.8</v>
      </c>
      <c r="K58" s="4" t="s">
        <v>1121</v>
      </c>
      <c r="L58" s="39">
        <v>154.76</v>
      </c>
      <c r="M58" s="39">
        <v>1824.76</v>
      </c>
      <c r="N58" s="39">
        <v>1979.52</v>
      </c>
      <c r="O58" s="8">
        <v>0.5</v>
      </c>
      <c r="P58" s="10" t="s">
        <v>1118</v>
      </c>
      <c r="Q58" s="4" t="s">
        <v>1137</v>
      </c>
    </row>
    <row r="59" spans="1:17" x14ac:dyDescent="0.35">
      <c r="A59" s="11" t="s">
        <v>1187</v>
      </c>
      <c r="B59" s="12">
        <v>45240</v>
      </c>
      <c r="C59" s="11" t="s">
        <v>97</v>
      </c>
      <c r="D59" s="11" t="s">
        <v>684</v>
      </c>
      <c r="E59" s="13" t="s">
        <v>1129</v>
      </c>
      <c r="F59" s="35" t="s">
        <v>675</v>
      </c>
      <c r="G59" s="11" t="s">
        <v>26</v>
      </c>
      <c r="H59" s="12">
        <v>45249</v>
      </c>
      <c r="I59" s="12"/>
      <c r="J59" s="17"/>
      <c r="K59" s="13" t="s">
        <v>1117</v>
      </c>
      <c r="L59" s="41"/>
      <c r="M59" s="41"/>
      <c r="N59" s="41"/>
      <c r="O59" s="17"/>
      <c r="P59" s="33" t="s">
        <v>672</v>
      </c>
      <c r="Q59" s="13" t="s">
        <v>1122</v>
      </c>
    </row>
    <row r="60" spans="1:17" x14ac:dyDescent="0.35">
      <c r="A60" s="2" t="s">
        <v>1188</v>
      </c>
      <c r="B60" s="3">
        <v>45036</v>
      </c>
      <c r="C60" s="2" t="s">
        <v>51</v>
      </c>
      <c r="D60" s="2" t="s">
        <v>661</v>
      </c>
      <c r="E60" s="4" t="s">
        <v>1129</v>
      </c>
      <c r="F60" s="20" t="s">
        <v>669</v>
      </c>
      <c r="G60" s="2" t="s">
        <v>26</v>
      </c>
      <c r="H60" s="3">
        <v>45044</v>
      </c>
      <c r="I60" s="3">
        <v>45047</v>
      </c>
      <c r="J60" s="8">
        <v>10.6</v>
      </c>
      <c r="K60" s="4" t="s">
        <v>1139</v>
      </c>
      <c r="L60" s="39">
        <v>926.67</v>
      </c>
      <c r="M60" s="39">
        <v>506.81</v>
      </c>
      <c r="N60" s="39">
        <v>1433.48</v>
      </c>
      <c r="O60" s="8">
        <v>4</v>
      </c>
      <c r="P60" s="10" t="s">
        <v>1118</v>
      </c>
      <c r="Q60" s="4"/>
    </row>
    <row r="61" spans="1:17" hidden="1" x14ac:dyDescent="0.35">
      <c r="A61" s="11" t="s">
        <v>1189</v>
      </c>
      <c r="B61" s="12">
        <v>45086</v>
      </c>
      <c r="C61" s="11" t="s">
        <v>23</v>
      </c>
      <c r="D61" s="11" t="s">
        <v>490</v>
      </c>
      <c r="E61" s="13" t="s">
        <v>1135</v>
      </c>
      <c r="F61" s="10" t="s">
        <v>663</v>
      </c>
      <c r="G61" s="11" t="s">
        <v>59</v>
      </c>
      <c r="H61" s="12">
        <v>45089</v>
      </c>
      <c r="I61" s="12">
        <v>45094</v>
      </c>
      <c r="J61" s="17">
        <v>9.6999999999999993</v>
      </c>
      <c r="K61" s="13" t="s">
        <v>1117</v>
      </c>
      <c r="L61" s="41">
        <v>719.88</v>
      </c>
      <c r="M61" s="41">
        <v>904.64</v>
      </c>
      <c r="N61" s="41">
        <v>1624.52</v>
      </c>
      <c r="O61" s="17">
        <v>4.5999999999999996</v>
      </c>
      <c r="P61" s="10" t="s">
        <v>1118</v>
      </c>
      <c r="Q61" s="13" t="s">
        <v>1137</v>
      </c>
    </row>
    <row r="62" spans="1:17" hidden="1" x14ac:dyDescent="0.35">
      <c r="A62" s="2" t="s">
        <v>1190</v>
      </c>
      <c r="B62" s="3">
        <v>45175</v>
      </c>
      <c r="C62" s="2" t="s">
        <v>31</v>
      </c>
      <c r="D62" s="2" t="s">
        <v>691</v>
      </c>
      <c r="E62" s="4" t="s">
        <v>1112</v>
      </c>
      <c r="F62" s="10" t="s">
        <v>663</v>
      </c>
      <c r="G62" s="2" t="s">
        <v>33</v>
      </c>
      <c r="H62" s="3">
        <v>45184</v>
      </c>
      <c r="I62" s="3">
        <v>45186</v>
      </c>
      <c r="J62" s="8">
        <v>13</v>
      </c>
      <c r="K62" s="4" t="s">
        <v>1142</v>
      </c>
      <c r="L62" s="39">
        <v>851.36</v>
      </c>
      <c r="M62" s="39">
        <v>2260.54</v>
      </c>
      <c r="N62" s="39">
        <v>3111.9</v>
      </c>
      <c r="O62" s="8">
        <v>4.7</v>
      </c>
      <c r="P62" s="10" t="s">
        <v>1118</v>
      </c>
      <c r="Q62" s="4"/>
    </row>
    <row r="63" spans="1:17" hidden="1" x14ac:dyDescent="0.35">
      <c r="A63" s="11" t="s">
        <v>1191</v>
      </c>
      <c r="B63" s="12">
        <v>44978</v>
      </c>
      <c r="C63" s="11" t="s">
        <v>31</v>
      </c>
      <c r="D63" s="11" t="s">
        <v>494</v>
      </c>
      <c r="E63" s="13" t="s">
        <v>1135</v>
      </c>
      <c r="F63" s="33" t="s">
        <v>680</v>
      </c>
      <c r="G63" s="11" t="s">
        <v>55</v>
      </c>
      <c r="H63" s="12">
        <v>44989</v>
      </c>
      <c r="I63" s="12">
        <v>44990</v>
      </c>
      <c r="J63" s="17">
        <v>11.5</v>
      </c>
      <c r="K63" s="13" t="s">
        <v>1113</v>
      </c>
      <c r="L63" s="41">
        <v>1054.98</v>
      </c>
      <c r="M63" s="41">
        <v>2931.59</v>
      </c>
      <c r="N63" s="41">
        <v>3986.57</v>
      </c>
      <c r="O63" s="17">
        <v>2.9</v>
      </c>
      <c r="P63" s="10" t="s">
        <v>1118</v>
      </c>
      <c r="Q63" s="13" t="s">
        <v>1137</v>
      </c>
    </row>
    <row r="64" spans="1:17" x14ac:dyDescent="0.35">
      <c r="A64" s="2" t="s">
        <v>1192</v>
      </c>
      <c r="B64" s="3">
        <v>44948</v>
      </c>
      <c r="C64" s="2" t="s">
        <v>51</v>
      </c>
      <c r="D64" s="2" t="s">
        <v>691</v>
      </c>
      <c r="E64" s="4" t="s">
        <v>1129</v>
      </c>
      <c r="F64" s="20" t="s">
        <v>669</v>
      </c>
      <c r="G64" s="2" t="s">
        <v>44</v>
      </c>
      <c r="H64" s="3">
        <v>44959</v>
      </c>
      <c r="I64" s="3">
        <v>44962</v>
      </c>
      <c r="J64" s="8">
        <v>17.8</v>
      </c>
      <c r="K64" s="4" t="s">
        <v>1136</v>
      </c>
      <c r="L64" s="39">
        <v>1237.53</v>
      </c>
      <c r="M64" s="39">
        <v>1889.78</v>
      </c>
      <c r="N64" s="39">
        <v>3127.31</v>
      </c>
      <c r="O64" s="8">
        <v>5.8</v>
      </c>
      <c r="P64" s="10" t="s">
        <v>1118</v>
      </c>
      <c r="Q64" s="4"/>
    </row>
    <row r="65" spans="1:17" x14ac:dyDescent="0.35">
      <c r="A65" s="11" t="s">
        <v>1193</v>
      </c>
      <c r="B65" s="12">
        <v>45187</v>
      </c>
      <c r="C65" s="11" t="s">
        <v>97</v>
      </c>
      <c r="D65" s="11" t="s">
        <v>482</v>
      </c>
      <c r="E65" s="13" t="s">
        <v>1112</v>
      </c>
      <c r="F65" s="35" t="s">
        <v>675</v>
      </c>
      <c r="G65" s="11" t="s">
        <v>26</v>
      </c>
      <c r="H65" s="12">
        <v>45194</v>
      </c>
      <c r="I65" s="12">
        <v>45197</v>
      </c>
      <c r="J65" s="17">
        <v>11.6</v>
      </c>
      <c r="K65" s="13" t="s">
        <v>1117</v>
      </c>
      <c r="L65" s="41">
        <v>865.8</v>
      </c>
      <c r="M65" s="41">
        <v>2816.69</v>
      </c>
      <c r="N65" s="41">
        <v>3682.49</v>
      </c>
      <c r="O65" s="17">
        <v>4.4000000000000004</v>
      </c>
      <c r="P65" s="10" t="s">
        <v>1118</v>
      </c>
      <c r="Q65" s="13"/>
    </row>
    <row r="66" spans="1:17" x14ac:dyDescent="0.35">
      <c r="A66" s="2" t="s">
        <v>1194</v>
      </c>
      <c r="B66" s="3">
        <v>45104</v>
      </c>
      <c r="C66" s="2" t="s">
        <v>23</v>
      </c>
      <c r="D66" s="2" t="s">
        <v>715</v>
      </c>
      <c r="E66" s="4" t="s">
        <v>1120</v>
      </c>
      <c r="F66" s="35" t="s">
        <v>675</v>
      </c>
      <c r="G66" s="2" t="s">
        <v>55</v>
      </c>
      <c r="H66" s="3">
        <v>45110</v>
      </c>
      <c r="I66" s="3">
        <v>45112</v>
      </c>
      <c r="J66" s="8">
        <v>4.7</v>
      </c>
      <c r="K66" s="4" t="s">
        <v>1139</v>
      </c>
      <c r="L66" s="39">
        <v>435.96</v>
      </c>
      <c r="M66" s="39">
        <v>2496.1</v>
      </c>
      <c r="N66" s="39">
        <v>2932.06</v>
      </c>
      <c r="O66" s="8">
        <v>1.2</v>
      </c>
      <c r="P66" s="10" t="s">
        <v>1118</v>
      </c>
      <c r="Q66" s="4"/>
    </row>
    <row r="67" spans="1:17" hidden="1" x14ac:dyDescent="0.35">
      <c r="A67" s="11" t="s">
        <v>1195</v>
      </c>
      <c r="B67" s="12">
        <v>45198</v>
      </c>
      <c r="C67" s="11" t="s">
        <v>23</v>
      </c>
      <c r="D67" s="11" t="s">
        <v>713</v>
      </c>
      <c r="E67" s="13" t="s">
        <v>1112</v>
      </c>
      <c r="F67" s="10" t="s">
        <v>663</v>
      </c>
      <c r="G67" s="11" t="s">
        <v>26</v>
      </c>
      <c r="H67" s="12">
        <v>45206</v>
      </c>
      <c r="I67" s="12">
        <v>45208</v>
      </c>
      <c r="J67" s="17">
        <v>8.8000000000000007</v>
      </c>
      <c r="K67" s="13" t="s">
        <v>1133</v>
      </c>
      <c r="L67" s="41">
        <v>771.47</v>
      </c>
      <c r="M67" s="41">
        <v>733.31</v>
      </c>
      <c r="N67" s="41">
        <v>1504.78</v>
      </c>
      <c r="O67" s="17">
        <v>1.9</v>
      </c>
      <c r="P67" s="10" t="s">
        <v>1118</v>
      </c>
      <c r="Q67" s="13"/>
    </row>
    <row r="68" spans="1:17" hidden="1" x14ac:dyDescent="0.35">
      <c r="A68" s="2" t="s">
        <v>1196</v>
      </c>
      <c r="B68" s="3">
        <v>45195</v>
      </c>
      <c r="C68" s="2" t="s">
        <v>23</v>
      </c>
      <c r="D68" s="2" t="s">
        <v>719</v>
      </c>
      <c r="E68" s="4" t="s">
        <v>1129</v>
      </c>
      <c r="F68" s="33" t="s">
        <v>680</v>
      </c>
      <c r="G68" s="2" t="s">
        <v>44</v>
      </c>
      <c r="H68" s="3">
        <v>45207</v>
      </c>
      <c r="I68" s="3">
        <v>45210</v>
      </c>
      <c r="J68" s="8">
        <v>6.1</v>
      </c>
      <c r="K68" s="4" t="s">
        <v>1136</v>
      </c>
      <c r="L68" s="39">
        <v>512.28</v>
      </c>
      <c r="M68" s="39">
        <v>2407.5</v>
      </c>
      <c r="N68" s="39">
        <v>2919.78</v>
      </c>
      <c r="O68" s="8">
        <v>0.3</v>
      </c>
      <c r="P68" s="10" t="s">
        <v>1118</v>
      </c>
      <c r="Q68" s="4"/>
    </row>
    <row r="69" spans="1:17" x14ac:dyDescent="0.35">
      <c r="A69" s="11" t="s">
        <v>1197</v>
      </c>
      <c r="B69" s="12">
        <v>44966</v>
      </c>
      <c r="C69" s="11" t="s">
        <v>97</v>
      </c>
      <c r="D69" s="11" t="s">
        <v>494</v>
      </c>
      <c r="E69" s="13" t="s">
        <v>1135</v>
      </c>
      <c r="F69" s="35" t="s">
        <v>675</v>
      </c>
      <c r="G69" s="11" t="s">
        <v>26</v>
      </c>
      <c r="H69" s="12">
        <v>44976</v>
      </c>
      <c r="I69" s="12">
        <v>44981</v>
      </c>
      <c r="J69" s="17">
        <v>12.4</v>
      </c>
      <c r="K69" s="13" t="s">
        <v>1117</v>
      </c>
      <c r="L69" s="41">
        <v>1126.53</v>
      </c>
      <c r="M69" s="41">
        <v>2319.4899999999998</v>
      </c>
      <c r="N69" s="41">
        <v>3446.02</v>
      </c>
      <c r="O69" s="17">
        <v>7</v>
      </c>
      <c r="P69" s="10" t="s">
        <v>1118</v>
      </c>
      <c r="Q69" s="13" t="s">
        <v>1137</v>
      </c>
    </row>
    <row r="70" spans="1:17" hidden="1" x14ac:dyDescent="0.35">
      <c r="A70" s="2" t="s">
        <v>1198</v>
      </c>
      <c r="B70" s="3">
        <v>45207</v>
      </c>
      <c r="C70" s="2" t="s">
        <v>51</v>
      </c>
      <c r="D70" s="2" t="s">
        <v>661</v>
      </c>
      <c r="E70" s="4" t="s">
        <v>1129</v>
      </c>
      <c r="F70" s="33" t="s">
        <v>680</v>
      </c>
      <c r="G70" s="2" t="s">
        <v>33</v>
      </c>
      <c r="H70" s="3">
        <v>45209</v>
      </c>
      <c r="I70" s="3">
        <v>45209</v>
      </c>
      <c r="J70" s="8">
        <v>10.9</v>
      </c>
      <c r="K70" s="4" t="s">
        <v>1154</v>
      </c>
      <c r="L70" s="39">
        <v>959.18</v>
      </c>
      <c r="M70" s="39">
        <v>1758.17</v>
      </c>
      <c r="N70" s="39">
        <v>2717.35</v>
      </c>
      <c r="O70" s="8">
        <v>1.6</v>
      </c>
      <c r="P70" s="10" t="s">
        <v>1118</v>
      </c>
      <c r="Q70" s="4"/>
    </row>
    <row r="71" spans="1:17" hidden="1" x14ac:dyDescent="0.35">
      <c r="A71" s="11" t="s">
        <v>1199</v>
      </c>
      <c r="B71" s="12">
        <v>45152</v>
      </c>
      <c r="C71" s="11" t="s">
        <v>51</v>
      </c>
      <c r="D71" s="11" t="s">
        <v>710</v>
      </c>
      <c r="E71" s="13" t="s">
        <v>1112</v>
      </c>
      <c r="F71" s="33" t="s">
        <v>680</v>
      </c>
      <c r="G71" s="11" t="s">
        <v>33</v>
      </c>
      <c r="H71" s="12">
        <v>45154</v>
      </c>
      <c r="I71" s="12">
        <v>45154</v>
      </c>
      <c r="J71" s="17">
        <v>14.6</v>
      </c>
      <c r="K71" s="13" t="s">
        <v>1127</v>
      </c>
      <c r="L71" s="41">
        <v>1301.3</v>
      </c>
      <c r="M71" s="41">
        <v>3183.64</v>
      </c>
      <c r="N71" s="41">
        <v>4484.9399999999996</v>
      </c>
      <c r="O71" s="17">
        <v>8.3000000000000007</v>
      </c>
      <c r="P71" s="10" t="s">
        <v>1118</v>
      </c>
      <c r="Q71" s="13"/>
    </row>
    <row r="72" spans="1:17" x14ac:dyDescent="0.35">
      <c r="A72" s="2" t="s">
        <v>1200</v>
      </c>
      <c r="B72" s="3">
        <v>45172</v>
      </c>
      <c r="C72" s="2" t="s">
        <v>42</v>
      </c>
      <c r="D72" s="2" t="s">
        <v>710</v>
      </c>
      <c r="E72" s="4" t="s">
        <v>1112</v>
      </c>
      <c r="F72" s="35" t="s">
        <v>675</v>
      </c>
      <c r="G72" s="2" t="s">
        <v>44</v>
      </c>
      <c r="H72" s="3">
        <v>45185</v>
      </c>
      <c r="I72" s="3">
        <v>45185</v>
      </c>
      <c r="J72" s="8">
        <v>9.4</v>
      </c>
      <c r="K72" s="4" t="s">
        <v>1127</v>
      </c>
      <c r="L72" s="39">
        <v>789.7</v>
      </c>
      <c r="M72" s="39">
        <v>2145.2600000000002</v>
      </c>
      <c r="N72" s="39">
        <v>2934.96</v>
      </c>
      <c r="O72" s="8">
        <v>3.7</v>
      </c>
      <c r="P72" s="10" t="s">
        <v>1118</v>
      </c>
      <c r="Q72" s="4"/>
    </row>
    <row r="73" spans="1:17" hidden="1" x14ac:dyDescent="0.35">
      <c r="A73" s="11" t="s">
        <v>1201</v>
      </c>
      <c r="B73" s="12">
        <v>45235</v>
      </c>
      <c r="C73" s="11" t="s">
        <v>97</v>
      </c>
      <c r="D73" s="11" t="s">
        <v>471</v>
      </c>
      <c r="E73" s="13" t="s">
        <v>1129</v>
      </c>
      <c r="F73" s="10" t="s">
        <v>663</v>
      </c>
      <c r="G73" s="11" t="s">
        <v>44</v>
      </c>
      <c r="H73" s="12">
        <v>45239</v>
      </c>
      <c r="I73" s="12">
        <v>45241</v>
      </c>
      <c r="J73" s="17">
        <v>19.7</v>
      </c>
      <c r="K73" s="13" t="s">
        <v>1124</v>
      </c>
      <c r="L73" s="41">
        <v>1440.14</v>
      </c>
      <c r="M73" s="41">
        <v>1649.7</v>
      </c>
      <c r="N73" s="41">
        <v>3089.84</v>
      </c>
      <c r="O73" s="17">
        <v>7.3</v>
      </c>
      <c r="P73" s="10" t="s">
        <v>1118</v>
      </c>
      <c r="Q73" s="13"/>
    </row>
    <row r="74" spans="1:17" hidden="1" x14ac:dyDescent="0.35">
      <c r="A74" s="2" t="s">
        <v>1202</v>
      </c>
      <c r="B74" s="3">
        <v>45026</v>
      </c>
      <c r="C74" s="2" t="s">
        <v>97</v>
      </c>
      <c r="D74" s="2" t="s">
        <v>490</v>
      </c>
      <c r="E74" s="4" t="s">
        <v>1135</v>
      </c>
      <c r="F74" s="10" t="s">
        <v>663</v>
      </c>
      <c r="G74" s="2" t="s">
        <v>26</v>
      </c>
      <c r="H74" s="3">
        <v>45037</v>
      </c>
      <c r="I74" s="3">
        <v>45037</v>
      </c>
      <c r="J74" s="8">
        <v>1.2</v>
      </c>
      <c r="K74" s="4" t="s">
        <v>1133</v>
      </c>
      <c r="L74" s="39">
        <v>83.42</v>
      </c>
      <c r="M74" s="39">
        <v>3249.95</v>
      </c>
      <c r="N74" s="39">
        <v>3333.37</v>
      </c>
      <c r="O74" s="8">
        <v>0.5</v>
      </c>
      <c r="P74" s="10" t="s">
        <v>1118</v>
      </c>
      <c r="Q74" s="4" t="s">
        <v>1137</v>
      </c>
    </row>
    <row r="75" spans="1:17" x14ac:dyDescent="0.35">
      <c r="A75" s="11" t="s">
        <v>1203</v>
      </c>
      <c r="B75" s="12">
        <v>44960</v>
      </c>
      <c r="C75" s="11" t="s">
        <v>23</v>
      </c>
      <c r="D75" s="11" t="s">
        <v>715</v>
      </c>
      <c r="E75" s="13" t="s">
        <v>1129</v>
      </c>
      <c r="F75" s="20" t="s">
        <v>669</v>
      </c>
      <c r="G75" s="11" t="s">
        <v>55</v>
      </c>
      <c r="H75" s="12">
        <v>44961</v>
      </c>
      <c r="I75" s="12"/>
      <c r="J75" s="17"/>
      <c r="K75" s="13" t="s">
        <v>1127</v>
      </c>
      <c r="L75" s="41"/>
      <c r="M75" s="41"/>
      <c r="N75" s="41"/>
      <c r="O75" s="17"/>
      <c r="P75" s="37" t="s">
        <v>1114</v>
      </c>
      <c r="Q75" s="13" t="s">
        <v>1115</v>
      </c>
    </row>
    <row r="76" spans="1:17" hidden="1" x14ac:dyDescent="0.35">
      <c r="A76" s="2" t="s">
        <v>1204</v>
      </c>
      <c r="B76" s="3">
        <v>44940</v>
      </c>
      <c r="C76" s="2" t="s">
        <v>31</v>
      </c>
      <c r="D76" s="2" t="s">
        <v>482</v>
      </c>
      <c r="E76" s="4" t="s">
        <v>1112</v>
      </c>
      <c r="F76" s="33" t="s">
        <v>680</v>
      </c>
      <c r="G76" s="2" t="s">
        <v>44</v>
      </c>
      <c r="H76" s="3">
        <v>44954</v>
      </c>
      <c r="I76" s="3">
        <v>44954</v>
      </c>
      <c r="J76" s="8">
        <v>7.5</v>
      </c>
      <c r="K76" s="4" t="s">
        <v>1136</v>
      </c>
      <c r="L76" s="39">
        <v>524.77</v>
      </c>
      <c r="M76" s="39">
        <v>841.65</v>
      </c>
      <c r="N76" s="39">
        <v>1366.42</v>
      </c>
      <c r="O76" s="8">
        <v>2</v>
      </c>
      <c r="P76" s="10" t="s">
        <v>1118</v>
      </c>
      <c r="Q76" s="4"/>
    </row>
    <row r="77" spans="1:17" hidden="1" x14ac:dyDescent="0.35">
      <c r="A77" s="11" t="s">
        <v>1205</v>
      </c>
      <c r="B77" s="12">
        <v>45280</v>
      </c>
      <c r="C77" s="11" t="s">
        <v>42</v>
      </c>
      <c r="D77" s="11" t="s">
        <v>482</v>
      </c>
      <c r="E77" s="13" t="s">
        <v>1112</v>
      </c>
      <c r="F77" s="10" t="s">
        <v>663</v>
      </c>
      <c r="G77" s="11" t="s">
        <v>55</v>
      </c>
      <c r="H77" s="12">
        <v>45291</v>
      </c>
      <c r="I77" s="12">
        <v>45291</v>
      </c>
      <c r="J77" s="17">
        <v>4.2</v>
      </c>
      <c r="K77" s="13" t="s">
        <v>1133</v>
      </c>
      <c r="L77" s="41">
        <v>309.54000000000002</v>
      </c>
      <c r="M77" s="41">
        <v>3331.48</v>
      </c>
      <c r="N77" s="41">
        <v>3641.02</v>
      </c>
      <c r="O77" s="17">
        <v>1.6</v>
      </c>
      <c r="P77" s="10" t="s">
        <v>1118</v>
      </c>
      <c r="Q77" s="13"/>
    </row>
    <row r="78" spans="1:17" hidden="1" x14ac:dyDescent="0.35">
      <c r="A78" s="2" t="s">
        <v>1206</v>
      </c>
      <c r="B78" s="3">
        <v>44993</v>
      </c>
      <c r="C78" s="2" t="s">
        <v>31</v>
      </c>
      <c r="D78" s="2" t="s">
        <v>719</v>
      </c>
      <c r="E78" s="4" t="s">
        <v>1129</v>
      </c>
      <c r="F78" s="33" t="s">
        <v>680</v>
      </c>
      <c r="G78" s="2" t="s">
        <v>44</v>
      </c>
      <c r="H78" s="3">
        <v>45004</v>
      </c>
      <c r="I78" s="3"/>
      <c r="J78" s="8"/>
      <c r="K78" s="4" t="s">
        <v>1117</v>
      </c>
      <c r="L78" s="39"/>
      <c r="M78" s="39"/>
      <c r="N78" s="39"/>
      <c r="O78" s="8"/>
      <c r="P78" s="33" t="s">
        <v>672</v>
      </c>
      <c r="Q78" s="4" t="s">
        <v>1122</v>
      </c>
    </row>
    <row r="79" spans="1:17" hidden="1" x14ac:dyDescent="0.35">
      <c r="A79" s="11" t="s">
        <v>1207</v>
      </c>
      <c r="B79" s="12">
        <v>45257</v>
      </c>
      <c r="C79" s="11" t="s">
        <v>23</v>
      </c>
      <c r="D79" s="11" t="s">
        <v>494</v>
      </c>
      <c r="E79" s="13" t="s">
        <v>1129</v>
      </c>
      <c r="F79" s="33" t="s">
        <v>680</v>
      </c>
      <c r="G79" s="11" t="s">
        <v>59</v>
      </c>
      <c r="H79" s="12">
        <v>45260</v>
      </c>
      <c r="I79" s="12">
        <v>45260</v>
      </c>
      <c r="J79" s="17">
        <v>8.6</v>
      </c>
      <c r="K79" s="13" t="s">
        <v>1133</v>
      </c>
      <c r="L79" s="41">
        <v>598.89</v>
      </c>
      <c r="M79" s="41">
        <v>2567.0500000000002</v>
      </c>
      <c r="N79" s="41">
        <v>3165.94</v>
      </c>
      <c r="O79" s="17">
        <v>1.6</v>
      </c>
      <c r="P79" s="10" t="s">
        <v>1118</v>
      </c>
      <c r="Q79" s="13"/>
    </row>
    <row r="80" spans="1:17" x14ac:dyDescent="0.35">
      <c r="A80" s="2" t="s">
        <v>1208</v>
      </c>
      <c r="B80" s="3">
        <v>45214</v>
      </c>
      <c r="C80" s="2" t="s">
        <v>42</v>
      </c>
      <c r="D80" s="2" t="s">
        <v>713</v>
      </c>
      <c r="E80" s="4" t="s">
        <v>1135</v>
      </c>
      <c r="F80" s="20" t="s">
        <v>669</v>
      </c>
      <c r="G80" s="2" t="s">
        <v>26</v>
      </c>
      <c r="H80" s="3">
        <v>45219</v>
      </c>
      <c r="I80" s="3">
        <v>45220</v>
      </c>
      <c r="J80" s="8">
        <v>7.5</v>
      </c>
      <c r="K80" s="4" t="s">
        <v>1139</v>
      </c>
      <c r="L80" s="39">
        <v>626.09</v>
      </c>
      <c r="M80" s="39">
        <v>462.63</v>
      </c>
      <c r="N80" s="39">
        <v>1088.72</v>
      </c>
      <c r="O80" s="8">
        <v>2.5</v>
      </c>
      <c r="P80" s="10" t="s">
        <v>1118</v>
      </c>
      <c r="Q80" s="4" t="s">
        <v>1137</v>
      </c>
    </row>
    <row r="81" spans="1:17" x14ac:dyDescent="0.35">
      <c r="A81" s="11" t="s">
        <v>1209</v>
      </c>
      <c r="B81" s="12">
        <v>45106</v>
      </c>
      <c r="C81" s="11" t="s">
        <v>51</v>
      </c>
      <c r="D81" s="11" t="s">
        <v>477</v>
      </c>
      <c r="E81" s="13" t="s">
        <v>1112</v>
      </c>
      <c r="F81" s="35" t="s">
        <v>675</v>
      </c>
      <c r="G81" s="11" t="s">
        <v>26</v>
      </c>
      <c r="H81" s="12">
        <v>45113</v>
      </c>
      <c r="I81" s="12">
        <v>45113</v>
      </c>
      <c r="J81" s="17">
        <v>16.5</v>
      </c>
      <c r="K81" s="13" t="s">
        <v>1136</v>
      </c>
      <c r="L81" s="41">
        <v>1549.93</v>
      </c>
      <c r="M81" s="41">
        <v>761.59</v>
      </c>
      <c r="N81" s="41">
        <v>2311.52</v>
      </c>
      <c r="O81" s="17">
        <v>5.4</v>
      </c>
      <c r="P81" s="10" t="s">
        <v>1118</v>
      </c>
      <c r="Q81" s="13"/>
    </row>
    <row r="82" spans="1:17" hidden="1" x14ac:dyDescent="0.35">
      <c r="A82" s="2" t="s">
        <v>1210</v>
      </c>
      <c r="B82" s="3">
        <v>45225</v>
      </c>
      <c r="C82" s="2" t="s">
        <v>97</v>
      </c>
      <c r="D82" s="2" t="s">
        <v>482</v>
      </c>
      <c r="E82" s="4" t="s">
        <v>1120</v>
      </c>
      <c r="F82" s="10" t="s">
        <v>663</v>
      </c>
      <c r="G82" s="2" t="s">
        <v>59</v>
      </c>
      <c r="H82" s="3">
        <v>45234</v>
      </c>
      <c r="I82" s="3">
        <v>45234</v>
      </c>
      <c r="J82" s="8">
        <v>10</v>
      </c>
      <c r="K82" s="4" t="s">
        <v>1124</v>
      </c>
      <c r="L82" s="39">
        <v>864.97</v>
      </c>
      <c r="M82" s="39">
        <v>2395.9899999999998</v>
      </c>
      <c r="N82" s="39">
        <v>3260.96</v>
      </c>
      <c r="O82" s="8">
        <v>1.9</v>
      </c>
      <c r="P82" s="10" t="s">
        <v>1118</v>
      </c>
      <c r="Q82" s="4"/>
    </row>
    <row r="83" spans="1:17" hidden="1" x14ac:dyDescent="0.35">
      <c r="A83" s="11" t="s">
        <v>1211</v>
      </c>
      <c r="B83" s="12">
        <v>45170</v>
      </c>
      <c r="C83" s="11" t="s">
        <v>97</v>
      </c>
      <c r="D83" s="11" t="s">
        <v>661</v>
      </c>
      <c r="E83" s="13" t="s">
        <v>1120</v>
      </c>
      <c r="F83" s="10" t="s">
        <v>663</v>
      </c>
      <c r="G83" s="11" t="s">
        <v>59</v>
      </c>
      <c r="H83" s="12">
        <v>45177</v>
      </c>
      <c r="I83" s="12">
        <v>45179</v>
      </c>
      <c r="J83" s="17">
        <v>12.6</v>
      </c>
      <c r="K83" s="13" t="s">
        <v>1136</v>
      </c>
      <c r="L83" s="41">
        <v>1043</v>
      </c>
      <c r="M83" s="41">
        <v>3268.92</v>
      </c>
      <c r="N83" s="41">
        <v>4311.92</v>
      </c>
      <c r="O83" s="17">
        <v>7.4</v>
      </c>
      <c r="P83" s="10" t="s">
        <v>1118</v>
      </c>
      <c r="Q83" s="13"/>
    </row>
    <row r="84" spans="1:17" x14ac:dyDescent="0.35">
      <c r="A84" s="2" t="s">
        <v>1212</v>
      </c>
      <c r="B84" s="3">
        <v>44976</v>
      </c>
      <c r="C84" s="2" t="s">
        <v>23</v>
      </c>
      <c r="D84" s="2" t="s">
        <v>725</v>
      </c>
      <c r="E84" s="4" t="s">
        <v>1112</v>
      </c>
      <c r="F84" s="35" t="s">
        <v>675</v>
      </c>
      <c r="G84" s="2" t="s">
        <v>26</v>
      </c>
      <c r="H84" s="3">
        <v>44990</v>
      </c>
      <c r="I84" s="3">
        <v>44993</v>
      </c>
      <c r="J84" s="8">
        <v>7.7</v>
      </c>
      <c r="K84" s="4" t="s">
        <v>1139</v>
      </c>
      <c r="L84" s="39">
        <v>684.81</v>
      </c>
      <c r="M84" s="39">
        <v>1088.53</v>
      </c>
      <c r="N84" s="39">
        <v>1773.34</v>
      </c>
      <c r="O84" s="8">
        <v>4.2</v>
      </c>
      <c r="P84" s="10" t="s">
        <v>1118</v>
      </c>
      <c r="Q84" s="4"/>
    </row>
    <row r="85" spans="1:17" hidden="1" x14ac:dyDescent="0.35">
      <c r="A85" s="11" t="s">
        <v>1213</v>
      </c>
      <c r="B85" s="12">
        <v>45032</v>
      </c>
      <c r="C85" s="11" t="s">
        <v>51</v>
      </c>
      <c r="D85" s="11" t="s">
        <v>477</v>
      </c>
      <c r="E85" s="13" t="s">
        <v>1135</v>
      </c>
      <c r="F85" s="33" t="s">
        <v>680</v>
      </c>
      <c r="G85" s="11" t="s">
        <v>55</v>
      </c>
      <c r="H85" s="12">
        <v>45038</v>
      </c>
      <c r="I85" s="12"/>
      <c r="J85" s="17"/>
      <c r="K85" s="13" t="s">
        <v>1121</v>
      </c>
      <c r="L85" s="41"/>
      <c r="M85" s="41"/>
      <c r="N85" s="41"/>
      <c r="O85" s="17"/>
      <c r="P85" s="33" t="s">
        <v>672</v>
      </c>
      <c r="Q85" s="13" t="s">
        <v>1137</v>
      </c>
    </row>
    <row r="86" spans="1:17" x14ac:dyDescent="0.35">
      <c r="A86" s="2" t="s">
        <v>1214</v>
      </c>
      <c r="B86" s="3">
        <v>45133</v>
      </c>
      <c r="C86" s="2" t="s">
        <v>42</v>
      </c>
      <c r="D86" s="2" t="s">
        <v>691</v>
      </c>
      <c r="E86" s="4" t="s">
        <v>1120</v>
      </c>
      <c r="F86" s="35" t="s">
        <v>675</v>
      </c>
      <c r="G86" s="2" t="s">
        <v>59</v>
      </c>
      <c r="H86" s="3">
        <v>45139</v>
      </c>
      <c r="I86" s="3">
        <v>45144</v>
      </c>
      <c r="J86" s="8">
        <v>6.9</v>
      </c>
      <c r="K86" s="4" t="s">
        <v>1136</v>
      </c>
      <c r="L86" s="39">
        <v>643.25</v>
      </c>
      <c r="M86" s="39">
        <v>1147.1500000000001</v>
      </c>
      <c r="N86" s="39">
        <v>1790.4</v>
      </c>
      <c r="O86" s="8">
        <v>2.7</v>
      </c>
      <c r="P86" s="10" t="s">
        <v>1118</v>
      </c>
      <c r="Q86" s="4"/>
    </row>
    <row r="87" spans="1:17" x14ac:dyDescent="0.35">
      <c r="A87" s="11" t="s">
        <v>1215</v>
      </c>
      <c r="B87" s="12">
        <v>45040</v>
      </c>
      <c r="C87" s="11" t="s">
        <v>23</v>
      </c>
      <c r="D87" s="11" t="s">
        <v>719</v>
      </c>
      <c r="E87" s="13" t="s">
        <v>1129</v>
      </c>
      <c r="F87" s="20" t="s">
        <v>669</v>
      </c>
      <c r="G87" s="11" t="s">
        <v>44</v>
      </c>
      <c r="H87" s="12">
        <v>45050</v>
      </c>
      <c r="I87" s="12">
        <v>45050</v>
      </c>
      <c r="J87" s="17">
        <v>17.8</v>
      </c>
      <c r="K87" s="13" t="s">
        <v>1154</v>
      </c>
      <c r="L87" s="41">
        <v>1204.48</v>
      </c>
      <c r="M87" s="41">
        <v>1281.3699999999999</v>
      </c>
      <c r="N87" s="41">
        <v>2485.85</v>
      </c>
      <c r="O87" s="17">
        <v>3.5</v>
      </c>
      <c r="P87" s="10" t="s">
        <v>1118</v>
      </c>
      <c r="Q87" s="13"/>
    </row>
    <row r="88" spans="1:17" hidden="1" x14ac:dyDescent="0.35">
      <c r="A88" s="2" t="s">
        <v>1216</v>
      </c>
      <c r="B88" s="3">
        <v>45116</v>
      </c>
      <c r="C88" s="2" t="s">
        <v>42</v>
      </c>
      <c r="D88" s="2" t="s">
        <v>661</v>
      </c>
      <c r="E88" s="4" t="s">
        <v>1112</v>
      </c>
      <c r="F88" s="33" t="s">
        <v>680</v>
      </c>
      <c r="G88" s="2" t="s">
        <v>33</v>
      </c>
      <c r="H88" s="3">
        <v>45128</v>
      </c>
      <c r="I88" s="3"/>
      <c r="J88" s="8"/>
      <c r="K88" s="4" t="s">
        <v>1142</v>
      </c>
      <c r="L88" s="39"/>
      <c r="M88" s="39"/>
      <c r="N88" s="39"/>
      <c r="O88" s="8"/>
      <c r="P88" s="33" t="s">
        <v>672</v>
      </c>
      <c r="Q88" s="4" t="s">
        <v>1122</v>
      </c>
    </row>
    <row r="89" spans="1:17" hidden="1" x14ac:dyDescent="0.35">
      <c r="A89" s="11" t="s">
        <v>1217</v>
      </c>
      <c r="B89" s="12">
        <v>45185</v>
      </c>
      <c r="C89" s="11" t="s">
        <v>97</v>
      </c>
      <c r="D89" s="11" t="s">
        <v>725</v>
      </c>
      <c r="E89" s="13" t="s">
        <v>1135</v>
      </c>
      <c r="F89" s="10" t="s">
        <v>663</v>
      </c>
      <c r="G89" s="11" t="s">
        <v>33</v>
      </c>
      <c r="H89" s="12">
        <v>45199</v>
      </c>
      <c r="I89" s="12"/>
      <c r="J89" s="17"/>
      <c r="K89" s="13" t="s">
        <v>1117</v>
      </c>
      <c r="L89" s="41"/>
      <c r="M89" s="41"/>
      <c r="N89" s="41"/>
      <c r="O89" s="17"/>
      <c r="P89" s="33" t="s">
        <v>672</v>
      </c>
      <c r="Q89" s="13" t="s">
        <v>1137</v>
      </c>
    </row>
    <row r="90" spans="1:17" x14ac:dyDescent="0.35">
      <c r="A90" s="2" t="s">
        <v>1218</v>
      </c>
      <c r="B90" s="3">
        <v>45066</v>
      </c>
      <c r="C90" s="2" t="s">
        <v>97</v>
      </c>
      <c r="D90" s="2" t="s">
        <v>713</v>
      </c>
      <c r="E90" s="4" t="s">
        <v>1129</v>
      </c>
      <c r="F90" s="35" t="s">
        <v>675</v>
      </c>
      <c r="G90" s="2" t="s">
        <v>55</v>
      </c>
      <c r="H90" s="3">
        <v>45068</v>
      </c>
      <c r="I90" s="3">
        <v>45073</v>
      </c>
      <c r="J90" s="8">
        <v>14.2</v>
      </c>
      <c r="K90" s="4" t="s">
        <v>1121</v>
      </c>
      <c r="L90" s="39">
        <v>1069.5899999999999</v>
      </c>
      <c r="M90" s="39">
        <v>2465.85</v>
      </c>
      <c r="N90" s="39">
        <v>3535.44</v>
      </c>
      <c r="O90" s="8">
        <v>4</v>
      </c>
      <c r="P90" s="10" t="s">
        <v>1118</v>
      </c>
      <c r="Q90" s="4"/>
    </row>
    <row r="91" spans="1:17" hidden="1" x14ac:dyDescent="0.35">
      <c r="A91" s="11" t="s">
        <v>1219</v>
      </c>
      <c r="B91" s="12">
        <v>45134</v>
      </c>
      <c r="C91" s="11" t="s">
        <v>51</v>
      </c>
      <c r="D91" s="11" t="s">
        <v>477</v>
      </c>
      <c r="E91" s="13" t="s">
        <v>1129</v>
      </c>
      <c r="F91" s="10" t="s">
        <v>663</v>
      </c>
      <c r="G91" s="11" t="s">
        <v>44</v>
      </c>
      <c r="H91" s="12">
        <v>45145</v>
      </c>
      <c r="I91" s="12"/>
      <c r="J91" s="17"/>
      <c r="K91" s="13" t="s">
        <v>1113</v>
      </c>
      <c r="L91" s="41"/>
      <c r="M91" s="41"/>
      <c r="N91" s="41"/>
      <c r="O91" s="17"/>
      <c r="P91" s="37" t="s">
        <v>1114</v>
      </c>
      <c r="Q91" s="13" t="s">
        <v>1115</v>
      </c>
    </row>
    <row r="92" spans="1:17" hidden="1" x14ac:dyDescent="0.35">
      <c r="A92" s="2" t="s">
        <v>1220</v>
      </c>
      <c r="B92" s="3">
        <v>45001</v>
      </c>
      <c r="C92" s="2" t="s">
        <v>23</v>
      </c>
      <c r="D92" s="2" t="s">
        <v>719</v>
      </c>
      <c r="E92" s="4" t="s">
        <v>1129</v>
      </c>
      <c r="F92" s="10" t="s">
        <v>663</v>
      </c>
      <c r="G92" s="2" t="s">
        <v>59</v>
      </c>
      <c r="H92" s="3">
        <v>45002</v>
      </c>
      <c r="I92" s="3">
        <v>45002</v>
      </c>
      <c r="J92" s="8">
        <v>6.2</v>
      </c>
      <c r="K92" s="4" t="s">
        <v>1117</v>
      </c>
      <c r="L92" s="39">
        <v>489.75</v>
      </c>
      <c r="M92" s="39">
        <v>1853.65</v>
      </c>
      <c r="N92" s="39">
        <v>2343.4</v>
      </c>
      <c r="O92" s="8">
        <v>1.2</v>
      </c>
      <c r="P92" s="10" t="s">
        <v>1118</v>
      </c>
      <c r="Q92" s="4"/>
    </row>
    <row r="93" spans="1:17" hidden="1" x14ac:dyDescent="0.35">
      <c r="A93" s="11" t="s">
        <v>1221</v>
      </c>
      <c r="B93" s="12">
        <v>44933</v>
      </c>
      <c r="C93" s="11" t="s">
        <v>97</v>
      </c>
      <c r="D93" s="11" t="s">
        <v>725</v>
      </c>
      <c r="E93" s="13" t="s">
        <v>1129</v>
      </c>
      <c r="F93" s="33" t="s">
        <v>680</v>
      </c>
      <c r="G93" s="11" t="s">
        <v>33</v>
      </c>
      <c r="H93" s="12">
        <v>44939</v>
      </c>
      <c r="I93" s="12">
        <v>44940</v>
      </c>
      <c r="J93" s="17">
        <v>16.899999999999999</v>
      </c>
      <c r="K93" s="13" t="s">
        <v>1127</v>
      </c>
      <c r="L93" s="41">
        <v>1152.8800000000001</v>
      </c>
      <c r="M93" s="41">
        <v>2789.82</v>
      </c>
      <c r="N93" s="41">
        <v>3942.7</v>
      </c>
      <c r="O93" s="17">
        <v>1.7</v>
      </c>
      <c r="P93" s="10" t="s">
        <v>1118</v>
      </c>
      <c r="Q93" s="13"/>
    </row>
    <row r="94" spans="1:17" x14ac:dyDescent="0.35">
      <c r="A94" s="2" t="s">
        <v>1222</v>
      </c>
      <c r="B94" s="3">
        <v>45048</v>
      </c>
      <c r="C94" s="2" t="s">
        <v>97</v>
      </c>
      <c r="D94" s="2" t="s">
        <v>482</v>
      </c>
      <c r="E94" s="4" t="s">
        <v>1112</v>
      </c>
      <c r="F94" s="20" t="s">
        <v>669</v>
      </c>
      <c r="G94" s="2" t="s">
        <v>55</v>
      </c>
      <c r="H94" s="3">
        <v>45055</v>
      </c>
      <c r="I94" s="3">
        <v>45055</v>
      </c>
      <c r="J94" s="8">
        <v>1.7</v>
      </c>
      <c r="K94" s="4" t="s">
        <v>1127</v>
      </c>
      <c r="L94" s="39">
        <v>157.08000000000001</v>
      </c>
      <c r="M94" s="39">
        <v>1075.21</v>
      </c>
      <c r="N94" s="39">
        <v>1232.29</v>
      </c>
      <c r="O94" s="8"/>
      <c r="P94" s="10" t="s">
        <v>1118</v>
      </c>
      <c r="Q94" s="4"/>
    </row>
    <row r="95" spans="1:17" x14ac:dyDescent="0.35">
      <c r="A95" s="11" t="s">
        <v>1223</v>
      </c>
      <c r="B95" s="12">
        <v>44980</v>
      </c>
      <c r="C95" s="11" t="s">
        <v>97</v>
      </c>
      <c r="D95" s="11" t="s">
        <v>691</v>
      </c>
      <c r="E95" s="13" t="s">
        <v>1129</v>
      </c>
      <c r="F95" s="35" t="s">
        <v>675</v>
      </c>
      <c r="G95" s="11" t="s">
        <v>59</v>
      </c>
      <c r="H95" s="12">
        <v>44981</v>
      </c>
      <c r="I95" s="12">
        <v>44984</v>
      </c>
      <c r="J95" s="17">
        <v>1.8</v>
      </c>
      <c r="K95" s="13" t="s">
        <v>1124</v>
      </c>
      <c r="L95" s="41">
        <v>153.04</v>
      </c>
      <c r="M95" s="41">
        <v>1621.69</v>
      </c>
      <c r="N95" s="41">
        <v>1774.73</v>
      </c>
      <c r="O95" s="17">
        <v>1</v>
      </c>
      <c r="P95" s="10" t="s">
        <v>1118</v>
      </c>
      <c r="Q95" s="13"/>
    </row>
    <row r="96" spans="1:17" hidden="1" x14ac:dyDescent="0.35">
      <c r="A96" s="2" t="s">
        <v>1224</v>
      </c>
      <c r="B96" s="3">
        <v>44993</v>
      </c>
      <c r="C96" s="2" t="s">
        <v>31</v>
      </c>
      <c r="D96" s="2" t="s">
        <v>490</v>
      </c>
      <c r="E96" s="4" t="s">
        <v>1120</v>
      </c>
      <c r="F96" s="10" t="s">
        <v>663</v>
      </c>
      <c r="G96" s="2" t="s">
        <v>55</v>
      </c>
      <c r="H96" s="3">
        <v>44996</v>
      </c>
      <c r="I96" s="3"/>
      <c r="J96" s="8"/>
      <c r="K96" s="4" t="s">
        <v>1113</v>
      </c>
      <c r="L96" s="39"/>
      <c r="M96" s="39"/>
      <c r="N96" s="39"/>
      <c r="O96" s="8"/>
      <c r="P96" s="37" t="s">
        <v>1114</v>
      </c>
      <c r="Q96" s="4" t="s">
        <v>1115</v>
      </c>
    </row>
    <row r="97" spans="1:17" x14ac:dyDescent="0.35">
      <c r="A97" s="11" t="s">
        <v>1225</v>
      </c>
      <c r="B97" s="12">
        <v>44943</v>
      </c>
      <c r="C97" s="11" t="s">
        <v>97</v>
      </c>
      <c r="D97" s="11" t="s">
        <v>661</v>
      </c>
      <c r="E97" s="13" t="s">
        <v>1135</v>
      </c>
      <c r="F97" s="35" t="s">
        <v>675</v>
      </c>
      <c r="G97" s="11" t="s">
        <v>26</v>
      </c>
      <c r="H97" s="12">
        <v>44946</v>
      </c>
      <c r="I97" s="12">
        <v>44949</v>
      </c>
      <c r="J97" s="17">
        <v>4.9000000000000004</v>
      </c>
      <c r="K97" s="13" t="s">
        <v>1133</v>
      </c>
      <c r="L97" s="41">
        <v>424.91</v>
      </c>
      <c r="M97" s="41">
        <v>149.43</v>
      </c>
      <c r="N97" s="41">
        <v>574.34</v>
      </c>
      <c r="O97" s="17">
        <v>0.5</v>
      </c>
      <c r="P97" s="10" t="s">
        <v>1118</v>
      </c>
      <c r="Q97" s="13" t="s">
        <v>1137</v>
      </c>
    </row>
    <row r="98" spans="1:17" hidden="1" x14ac:dyDescent="0.35">
      <c r="A98" s="2" t="s">
        <v>1226</v>
      </c>
      <c r="B98" s="3">
        <v>45107</v>
      </c>
      <c r="C98" s="2" t="s">
        <v>97</v>
      </c>
      <c r="D98" s="2" t="s">
        <v>719</v>
      </c>
      <c r="E98" s="4" t="s">
        <v>1129</v>
      </c>
      <c r="F98" s="33" t="s">
        <v>680</v>
      </c>
      <c r="G98" s="2" t="s">
        <v>33</v>
      </c>
      <c r="H98" s="3">
        <v>45108</v>
      </c>
      <c r="I98" s="3">
        <v>45111</v>
      </c>
      <c r="J98" s="8">
        <v>9.1</v>
      </c>
      <c r="K98" s="4" t="s">
        <v>1133</v>
      </c>
      <c r="L98" s="39">
        <v>680.95</v>
      </c>
      <c r="M98" s="39">
        <v>2239.64</v>
      </c>
      <c r="N98" s="39">
        <v>2920.59</v>
      </c>
      <c r="O98" s="8">
        <v>2.2000000000000002</v>
      </c>
      <c r="P98" s="10" t="s">
        <v>1118</v>
      </c>
      <c r="Q98" s="4"/>
    </row>
    <row r="99" spans="1:17" hidden="1" x14ac:dyDescent="0.35">
      <c r="A99" s="11" t="s">
        <v>1227</v>
      </c>
      <c r="B99" s="12">
        <v>45207</v>
      </c>
      <c r="C99" s="11" t="s">
        <v>31</v>
      </c>
      <c r="D99" s="11" t="s">
        <v>715</v>
      </c>
      <c r="E99" s="13" t="s">
        <v>1112</v>
      </c>
      <c r="F99" s="33" t="s">
        <v>680</v>
      </c>
      <c r="G99" s="11" t="s">
        <v>59</v>
      </c>
      <c r="H99" s="12">
        <v>45217</v>
      </c>
      <c r="I99" s="12">
        <v>45217</v>
      </c>
      <c r="J99" s="17">
        <v>7</v>
      </c>
      <c r="K99" s="13" t="s">
        <v>1139</v>
      </c>
      <c r="L99" s="41">
        <v>532.12</v>
      </c>
      <c r="M99" s="41">
        <v>992.36</v>
      </c>
      <c r="N99" s="41">
        <v>1524.48</v>
      </c>
      <c r="O99" s="17">
        <v>3.7</v>
      </c>
      <c r="P99" s="10" t="s">
        <v>1118</v>
      </c>
      <c r="Q99" s="13"/>
    </row>
    <row r="100" spans="1:17" x14ac:dyDescent="0.35">
      <c r="A100" s="2" t="s">
        <v>1228</v>
      </c>
      <c r="B100" s="3">
        <v>45001</v>
      </c>
      <c r="C100" s="2" t="s">
        <v>51</v>
      </c>
      <c r="D100" s="2" t="s">
        <v>691</v>
      </c>
      <c r="E100" s="4" t="s">
        <v>1120</v>
      </c>
      <c r="F100" s="20" t="s">
        <v>669</v>
      </c>
      <c r="G100" s="2" t="s">
        <v>26</v>
      </c>
      <c r="H100" s="3">
        <v>45008</v>
      </c>
      <c r="I100" s="3">
        <v>45013</v>
      </c>
      <c r="J100" s="8">
        <v>17.600000000000001</v>
      </c>
      <c r="K100" s="4" t="s">
        <v>1136</v>
      </c>
      <c r="L100" s="39">
        <v>1365.23</v>
      </c>
      <c r="M100" s="39">
        <v>1069.17</v>
      </c>
      <c r="N100" s="39">
        <v>2434.4</v>
      </c>
      <c r="O100" s="8">
        <v>8.5</v>
      </c>
      <c r="P100" s="10" t="s">
        <v>1118</v>
      </c>
      <c r="Q100" s="4"/>
    </row>
    <row r="101" spans="1:17" hidden="1" x14ac:dyDescent="0.35">
      <c r="A101" s="11" t="s">
        <v>1229</v>
      </c>
      <c r="B101" s="12">
        <v>45058</v>
      </c>
      <c r="C101" s="11" t="s">
        <v>97</v>
      </c>
      <c r="D101" s="11" t="s">
        <v>691</v>
      </c>
      <c r="E101" s="13" t="s">
        <v>1129</v>
      </c>
      <c r="F101" s="33" t="s">
        <v>680</v>
      </c>
      <c r="G101" s="11" t="s">
        <v>55</v>
      </c>
      <c r="H101" s="12">
        <v>45071</v>
      </c>
      <c r="I101" s="12">
        <v>45076</v>
      </c>
      <c r="J101" s="17">
        <v>4.3</v>
      </c>
      <c r="K101" s="13" t="s">
        <v>1142</v>
      </c>
      <c r="L101" s="41">
        <v>400.55</v>
      </c>
      <c r="M101" s="41">
        <v>673.55</v>
      </c>
      <c r="N101" s="41">
        <v>1074.0999999999999</v>
      </c>
      <c r="O101" s="17">
        <v>1.9</v>
      </c>
      <c r="P101" s="10" t="s">
        <v>1118</v>
      </c>
      <c r="Q101" s="13"/>
    </row>
  </sheetData>
  <autoFilter ref="A1:Q101" xr:uid="{00000000-0009-0000-0000-000004000000}">
    <filterColumn colId="5">
      <filters>
        <filter val="Critical"/>
        <filter val="High"/>
      </filters>
    </filterColumn>
  </autoFilter>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B3A"/>
  </sheetPr>
  <dimension ref="A1:F6"/>
  <sheetViews>
    <sheetView workbookViewId="0">
      <selection activeCell="D21" sqref="D21"/>
    </sheetView>
  </sheetViews>
  <sheetFormatPr defaultRowHeight="14.5" x14ac:dyDescent="0.35"/>
  <cols>
    <col min="1" max="1" width="12" customWidth="1"/>
    <col min="2" max="2" width="28" customWidth="1"/>
    <col min="3" max="3" width="16" customWidth="1"/>
    <col min="4" max="4" width="34" customWidth="1"/>
    <col min="5" max="5" width="20" customWidth="1"/>
    <col min="6" max="6" width="18" customWidth="1"/>
  </cols>
  <sheetData>
    <row r="1" spans="1:6" ht="28" customHeight="1" x14ac:dyDescent="0.35">
      <c r="A1" s="1" t="s">
        <v>2</v>
      </c>
      <c r="B1" s="1" t="s">
        <v>1230</v>
      </c>
      <c r="C1" s="1" t="s">
        <v>1231</v>
      </c>
      <c r="D1" s="1" t="s">
        <v>1232</v>
      </c>
      <c r="E1" s="1" t="s">
        <v>1233</v>
      </c>
      <c r="F1" s="1" t="s">
        <v>1234</v>
      </c>
    </row>
    <row r="2" spans="1:6" x14ac:dyDescent="0.35">
      <c r="A2" s="2" t="s">
        <v>23</v>
      </c>
      <c r="B2" s="4" t="s">
        <v>1235</v>
      </c>
      <c r="C2" s="2" t="s">
        <v>1236</v>
      </c>
      <c r="D2" s="4" t="s">
        <v>1237</v>
      </c>
      <c r="E2" s="42">
        <v>5000</v>
      </c>
      <c r="F2" s="3">
        <v>42064</v>
      </c>
    </row>
    <row r="3" spans="1:6" x14ac:dyDescent="0.35">
      <c r="A3" s="11" t="s">
        <v>97</v>
      </c>
      <c r="B3" s="13" t="s">
        <v>1238</v>
      </c>
      <c r="C3" s="11" t="s">
        <v>1239</v>
      </c>
      <c r="D3" s="13" t="s">
        <v>1240</v>
      </c>
      <c r="E3" s="43">
        <v>8000</v>
      </c>
      <c r="F3" s="12">
        <v>40739</v>
      </c>
    </row>
    <row r="4" spans="1:6" x14ac:dyDescent="0.35">
      <c r="A4" s="2" t="s">
        <v>31</v>
      </c>
      <c r="B4" s="4" t="s">
        <v>1241</v>
      </c>
      <c r="C4" s="2" t="s">
        <v>1242</v>
      </c>
      <c r="D4" s="4" t="s">
        <v>1243</v>
      </c>
      <c r="E4" s="42">
        <v>3500</v>
      </c>
      <c r="F4" s="3">
        <v>43120</v>
      </c>
    </row>
    <row r="5" spans="1:6" x14ac:dyDescent="0.35">
      <c r="A5" s="11" t="s">
        <v>51</v>
      </c>
      <c r="B5" s="13" t="s">
        <v>1244</v>
      </c>
      <c r="C5" s="11" t="s">
        <v>1242</v>
      </c>
      <c r="D5" s="13" t="s">
        <v>1245</v>
      </c>
      <c r="E5" s="43">
        <v>12000</v>
      </c>
      <c r="F5" s="12">
        <v>40061</v>
      </c>
    </row>
    <row r="6" spans="1:6" x14ac:dyDescent="0.35">
      <c r="A6" s="2" t="s">
        <v>42</v>
      </c>
      <c r="B6" s="4" t="s">
        <v>1246</v>
      </c>
      <c r="C6" s="2" t="s">
        <v>1247</v>
      </c>
      <c r="D6" s="4" t="s">
        <v>1248</v>
      </c>
      <c r="E6" s="42">
        <v>2000</v>
      </c>
      <c r="F6" s="3">
        <v>41376</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B3A"/>
  </sheetPr>
  <dimension ref="A1:E6"/>
  <sheetViews>
    <sheetView workbookViewId="0"/>
  </sheetViews>
  <sheetFormatPr defaultRowHeight="14.5" x14ac:dyDescent="0.35"/>
  <cols>
    <col min="1" max="1" width="13" customWidth="1"/>
    <col min="2" max="2" width="18" customWidth="1"/>
    <col min="3" max="3" width="20" customWidth="1"/>
    <col min="4" max="4" width="16" customWidth="1"/>
    <col min="5" max="5" width="18" customWidth="1"/>
  </cols>
  <sheetData>
    <row r="1" spans="1:5" ht="28" customHeight="1" x14ac:dyDescent="0.35">
      <c r="A1" s="1" t="s">
        <v>5</v>
      </c>
      <c r="B1" s="1" t="s">
        <v>1249</v>
      </c>
      <c r="C1" s="1" t="s">
        <v>1250</v>
      </c>
      <c r="D1" s="1" t="s">
        <v>1251</v>
      </c>
      <c r="E1" s="1" t="s">
        <v>1252</v>
      </c>
    </row>
    <row r="2" spans="1:5" x14ac:dyDescent="0.35">
      <c r="A2" s="2" t="s">
        <v>55</v>
      </c>
      <c r="B2" s="4" t="s">
        <v>1253</v>
      </c>
      <c r="C2" s="4" t="s">
        <v>1254</v>
      </c>
      <c r="D2" s="2" t="s">
        <v>23</v>
      </c>
      <c r="E2" s="44">
        <v>7</v>
      </c>
    </row>
    <row r="3" spans="1:5" x14ac:dyDescent="0.35">
      <c r="A3" s="11" t="s">
        <v>44</v>
      </c>
      <c r="B3" s="13" t="s">
        <v>1255</v>
      </c>
      <c r="C3" s="13" t="s">
        <v>1256</v>
      </c>
      <c r="D3" s="11" t="s">
        <v>97</v>
      </c>
      <c r="E3" s="45">
        <v>4</v>
      </c>
    </row>
    <row r="4" spans="1:5" x14ac:dyDescent="0.35">
      <c r="A4" s="2" t="s">
        <v>59</v>
      </c>
      <c r="B4" s="4" t="s">
        <v>1257</v>
      </c>
      <c r="C4" s="4" t="s">
        <v>1256</v>
      </c>
      <c r="D4" s="2" t="s">
        <v>31</v>
      </c>
      <c r="E4" s="44">
        <v>3</v>
      </c>
    </row>
    <row r="5" spans="1:5" x14ac:dyDescent="0.35">
      <c r="A5" s="11" t="s">
        <v>33</v>
      </c>
      <c r="B5" s="13" t="s">
        <v>1258</v>
      </c>
      <c r="C5" s="13" t="s">
        <v>1259</v>
      </c>
      <c r="D5" s="11" t="s">
        <v>51</v>
      </c>
      <c r="E5" s="45">
        <v>2</v>
      </c>
    </row>
    <row r="6" spans="1:5" x14ac:dyDescent="0.35">
      <c r="A6" s="2" t="s">
        <v>26</v>
      </c>
      <c r="B6" s="4" t="s">
        <v>1260</v>
      </c>
      <c r="C6" s="4" t="s">
        <v>1261</v>
      </c>
      <c r="D6" s="2" t="s">
        <v>23</v>
      </c>
      <c r="E6" s="44">
        <v>9</v>
      </c>
    </row>
  </sheetData>
  <pageMargins left="0.75" right="0.75" top="1" bottom="1" header="0.5" footer="0.5"/>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B3A"/>
  </sheetPr>
  <dimension ref="A1:F14"/>
  <sheetViews>
    <sheetView workbookViewId="0"/>
  </sheetViews>
  <sheetFormatPr defaultRowHeight="14.5" x14ac:dyDescent="0.35"/>
  <cols>
    <col min="1" max="1" width="12" customWidth="1"/>
    <col min="2" max="2" width="26" customWidth="1"/>
    <col min="3" max="3" width="22" customWidth="1"/>
    <col min="4" max="4" width="12" customWidth="1"/>
    <col min="5" max="5" width="14" customWidth="1"/>
    <col min="6" max="6" width="24" customWidth="1"/>
  </cols>
  <sheetData>
    <row r="1" spans="1:6" ht="28" customHeight="1" x14ac:dyDescent="0.35">
      <c r="A1" s="1" t="s">
        <v>460</v>
      </c>
      <c r="B1" s="1" t="s">
        <v>1262</v>
      </c>
      <c r="C1" s="1" t="s">
        <v>1263</v>
      </c>
      <c r="D1" s="1" t="s">
        <v>2</v>
      </c>
      <c r="E1" s="1" t="s">
        <v>1264</v>
      </c>
      <c r="F1" s="1" t="s">
        <v>1265</v>
      </c>
    </row>
    <row r="2" spans="1:6" x14ac:dyDescent="0.35">
      <c r="A2" s="2" t="s">
        <v>661</v>
      </c>
      <c r="B2" s="4" t="s">
        <v>1266</v>
      </c>
      <c r="C2" s="2" t="s">
        <v>1267</v>
      </c>
      <c r="D2" s="2" t="s">
        <v>23</v>
      </c>
      <c r="E2" s="2">
        <v>2015</v>
      </c>
      <c r="F2" s="44" t="s">
        <v>1268</v>
      </c>
    </row>
    <row r="3" spans="1:6" x14ac:dyDescent="0.35">
      <c r="A3" s="11" t="s">
        <v>715</v>
      </c>
      <c r="B3" s="13" t="s">
        <v>1269</v>
      </c>
      <c r="C3" s="11" t="s">
        <v>1267</v>
      </c>
      <c r="D3" s="11" t="s">
        <v>97</v>
      </c>
      <c r="E3" s="11">
        <v>2017</v>
      </c>
      <c r="F3" s="45" t="s">
        <v>1268</v>
      </c>
    </row>
    <row r="4" spans="1:6" x14ac:dyDescent="0.35">
      <c r="A4" s="2" t="s">
        <v>710</v>
      </c>
      <c r="B4" s="4" t="s">
        <v>1270</v>
      </c>
      <c r="C4" s="2" t="s">
        <v>1271</v>
      </c>
      <c r="D4" s="2" t="s">
        <v>23</v>
      </c>
      <c r="E4" s="2">
        <v>2015</v>
      </c>
      <c r="F4" s="44" t="s">
        <v>1272</v>
      </c>
    </row>
    <row r="5" spans="1:6" x14ac:dyDescent="0.35">
      <c r="A5" s="11" t="s">
        <v>684</v>
      </c>
      <c r="B5" s="13" t="s">
        <v>1273</v>
      </c>
      <c r="C5" s="11" t="s">
        <v>1271</v>
      </c>
      <c r="D5" s="11" t="s">
        <v>23</v>
      </c>
      <c r="E5" s="11">
        <v>2015</v>
      </c>
      <c r="F5" s="45" t="s">
        <v>1272</v>
      </c>
    </row>
    <row r="6" spans="1:6" x14ac:dyDescent="0.35">
      <c r="A6" s="2" t="s">
        <v>691</v>
      </c>
      <c r="B6" s="4" t="s">
        <v>1274</v>
      </c>
      <c r="C6" s="2" t="s">
        <v>1271</v>
      </c>
      <c r="D6" s="2" t="s">
        <v>97</v>
      </c>
      <c r="E6" s="2">
        <v>2018</v>
      </c>
      <c r="F6" s="44" t="s">
        <v>1275</v>
      </c>
    </row>
    <row r="7" spans="1:6" x14ac:dyDescent="0.35">
      <c r="A7" s="11" t="s">
        <v>494</v>
      </c>
      <c r="B7" s="13" t="s">
        <v>1276</v>
      </c>
      <c r="C7" s="11" t="s">
        <v>1277</v>
      </c>
      <c r="D7" s="11" t="s">
        <v>23</v>
      </c>
      <c r="E7" s="11">
        <v>2015</v>
      </c>
      <c r="F7" s="45" t="s">
        <v>1278</v>
      </c>
    </row>
    <row r="8" spans="1:6" x14ac:dyDescent="0.35">
      <c r="A8" s="2" t="s">
        <v>482</v>
      </c>
      <c r="B8" s="4" t="s">
        <v>1279</v>
      </c>
      <c r="C8" s="2" t="s">
        <v>1277</v>
      </c>
      <c r="D8" s="2" t="s">
        <v>23</v>
      </c>
      <c r="E8" s="2">
        <v>2019</v>
      </c>
      <c r="F8" s="44" t="s">
        <v>1280</v>
      </c>
    </row>
    <row r="9" spans="1:6" x14ac:dyDescent="0.35">
      <c r="A9" s="11" t="s">
        <v>490</v>
      </c>
      <c r="B9" s="13" t="s">
        <v>1281</v>
      </c>
      <c r="C9" s="11" t="s">
        <v>1282</v>
      </c>
      <c r="D9" s="11" t="s">
        <v>23</v>
      </c>
      <c r="E9" s="11">
        <v>2015</v>
      </c>
      <c r="F9" s="45" t="s">
        <v>1283</v>
      </c>
    </row>
    <row r="10" spans="1:6" x14ac:dyDescent="0.35">
      <c r="A10" s="2" t="s">
        <v>725</v>
      </c>
      <c r="B10" s="4" t="s">
        <v>1284</v>
      </c>
      <c r="C10" s="2" t="s">
        <v>1285</v>
      </c>
      <c r="D10" s="2" t="s">
        <v>23</v>
      </c>
      <c r="E10" s="2">
        <v>2016</v>
      </c>
      <c r="F10" s="44" t="s">
        <v>1286</v>
      </c>
    </row>
    <row r="11" spans="1:6" x14ac:dyDescent="0.35">
      <c r="A11" s="11" t="s">
        <v>719</v>
      </c>
      <c r="B11" s="13" t="s">
        <v>1287</v>
      </c>
      <c r="C11" s="11" t="s">
        <v>1288</v>
      </c>
      <c r="D11" s="11" t="s">
        <v>23</v>
      </c>
      <c r="E11" s="11">
        <v>2015</v>
      </c>
      <c r="F11" s="45" t="s">
        <v>1289</v>
      </c>
    </row>
    <row r="12" spans="1:6" x14ac:dyDescent="0.35">
      <c r="A12" s="2" t="s">
        <v>713</v>
      </c>
      <c r="B12" s="4" t="s">
        <v>1290</v>
      </c>
      <c r="C12" s="2" t="s">
        <v>1288</v>
      </c>
      <c r="D12" s="2" t="s">
        <v>97</v>
      </c>
      <c r="E12" s="2">
        <v>2017</v>
      </c>
      <c r="F12" s="44" t="s">
        <v>1289</v>
      </c>
    </row>
    <row r="13" spans="1:6" x14ac:dyDescent="0.35">
      <c r="A13" s="11" t="s">
        <v>471</v>
      </c>
      <c r="B13" s="13" t="s">
        <v>1291</v>
      </c>
      <c r="C13" s="11" t="s">
        <v>1292</v>
      </c>
      <c r="D13" s="11" t="s">
        <v>51</v>
      </c>
      <c r="E13" s="11">
        <v>2009</v>
      </c>
      <c r="F13" s="45" t="s">
        <v>1293</v>
      </c>
    </row>
    <row r="14" spans="1:6" x14ac:dyDescent="0.35">
      <c r="A14" s="2" t="s">
        <v>477</v>
      </c>
      <c r="B14" s="4" t="s">
        <v>1294</v>
      </c>
      <c r="C14" s="2" t="s">
        <v>1292</v>
      </c>
      <c r="D14" s="2" t="s">
        <v>42</v>
      </c>
      <c r="E14" s="2">
        <v>2013</v>
      </c>
      <c r="F14" s="44" t="s">
        <v>1295</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E5DB7C2-0481-4FBC-BEC4-1638E60FFA0F}">
  <ds:schemaRefs/>
</ds:datastoreItem>
</file>

<file path=customXml/itemProps2.xml><?xml version="1.0" encoding="utf-8"?>
<ds:datastoreItem xmlns:ds="http://schemas.openxmlformats.org/officeDocument/2006/customXml" ds:itemID="{F66D387C-08EE-4E1E-A2C0-4FDC457F24E3}">
  <ds:schemaRefs/>
</ds:datastoreItem>
</file>

<file path=customXml/itemProps3.xml><?xml version="1.0" encoding="utf-8"?>
<ds:datastoreItem xmlns:ds="http://schemas.openxmlformats.org/officeDocument/2006/customXml" ds:itemID="{A771EF08-A147-4040-9088-5370F0E49C49}">
  <ds:schemaRefs/>
</ds:datastoreItem>
</file>

<file path=customXml/itemProps4.xml><?xml version="1.0" encoding="utf-8"?>
<ds:datastoreItem xmlns:ds="http://schemas.openxmlformats.org/officeDocument/2006/customXml" ds:itemID="{5C45EF7B-A4E8-4D1F-BFE4-7009D1D4EB79}">
  <ds:schemaRefs>
    <ds:schemaRef ds:uri="http://schemas.microsoft.com/DataMashup"/>
  </ds:schemaRefs>
</ds:datastoreItem>
</file>

<file path=customXml/itemProps5.xml><?xml version="1.0" encoding="utf-8"?>
<ds:datastoreItem xmlns:ds="http://schemas.openxmlformats.org/officeDocument/2006/customXml" ds:itemID="{CF599ADB-35C5-4BA2-8DB3-88F866B56287}">
  <ds:schemaRefs/>
</ds:datastoreItem>
</file>

<file path=customXml/itemProps6.xml><?xml version="1.0" encoding="utf-8"?>
<ds:datastoreItem xmlns:ds="http://schemas.openxmlformats.org/officeDocument/2006/customXml" ds:itemID="{B35DACCD-BBD5-44B1-97C6-90460DD67D54}">
  <ds:schemaRefs/>
</ds:datastoreItem>
</file>

<file path=customXml/itemProps7.xml><?xml version="1.0" encoding="utf-8"?>
<ds:datastoreItem xmlns:ds="http://schemas.openxmlformats.org/officeDocument/2006/customXml" ds:itemID="{B336BB17-C26E-4AAD-93B4-460287441BAA}">
  <ds:schemaRefs/>
</ds:datastoreItem>
</file>

<file path=customXml/itemProps8.xml><?xml version="1.0" encoding="utf-8"?>
<ds:datastoreItem xmlns:ds="http://schemas.openxmlformats.org/officeDocument/2006/customXml" ds:itemID="{02659C17-7C0C-42DF-A722-620C2E11F64B}">
  <ds:schemaRefs/>
</ds:datastoreItem>
</file>

<file path=customXml/itemProps9.xml><?xml version="1.0" encoding="utf-8"?>
<ds:datastoreItem xmlns:ds="http://schemas.openxmlformats.org/officeDocument/2006/customXml" ds:itemID="{D8266450-8357-42F7-B9E5-CBC84FFAFA4C}">
  <ds:schemaRefs/>
</ds:datastoreItem>
</file>

<file path=customXml/itemProps10.xml><?xml version="1.0" encoding="utf-8"?>
<ds:datastoreItem xmlns:ds="http://schemas.openxmlformats.org/officeDocument/2006/customXml" ds:itemID="{014364EE-9323-45C5-A47C-CEA5623DDB61}">
  <ds:schemaRefs/>
</ds:datastoreItem>
</file>

<file path=customXml/itemProps11.xml><?xml version="1.0" encoding="utf-8"?>
<ds:datastoreItem xmlns:ds="http://schemas.openxmlformats.org/officeDocument/2006/customXml" ds:itemID="{58CEDA6D-1B49-4984-BB1E-A1C9E461D270}">
  <ds:schemaRefs/>
</ds:datastoreItem>
</file>

<file path=customXml/itemProps12.xml><?xml version="1.0" encoding="utf-8"?>
<ds:datastoreItem xmlns:ds="http://schemas.openxmlformats.org/officeDocument/2006/customXml" ds:itemID="{9E3F7CDE-FD99-4B84-9D41-A19BB6CE609F}">
  <ds:schemaRefs/>
</ds:datastoreItem>
</file>

<file path=customXml/itemProps13.xml><?xml version="1.0" encoding="utf-8"?>
<ds:datastoreItem xmlns:ds="http://schemas.openxmlformats.org/officeDocument/2006/customXml" ds:itemID="{1287EB7A-F442-4F23-84A4-D6218A2C5D56}">
  <ds:schemaRefs/>
</ds:datastoreItem>
</file>

<file path=customXml/itemProps14.xml><?xml version="1.0" encoding="utf-8"?>
<ds:datastoreItem xmlns:ds="http://schemas.openxmlformats.org/officeDocument/2006/customXml" ds:itemID="{024E530D-AF94-4C13-B510-04F1F99F2A53}">
  <ds:schemaRefs/>
</ds:datastoreItem>
</file>

<file path=customXml/itemProps15.xml><?xml version="1.0" encoding="utf-8"?>
<ds:datastoreItem xmlns:ds="http://schemas.openxmlformats.org/officeDocument/2006/customXml" ds:itemID="{9A00681A-1E76-42F8-A0A7-672255AB8047}">
  <ds:schemaRefs/>
</ds:datastoreItem>
</file>

<file path=customXml/itemProps16.xml><?xml version="1.0" encoding="utf-8"?>
<ds:datastoreItem xmlns:ds="http://schemas.openxmlformats.org/officeDocument/2006/customXml" ds:itemID="{C1BB13C9-B0CA-4A87-9034-9120BC6AA23E}">
  <ds:schemaRefs/>
</ds:datastoreItem>
</file>

<file path=customXml/itemProps17.xml><?xml version="1.0" encoding="utf-8"?>
<ds:datastoreItem xmlns:ds="http://schemas.openxmlformats.org/officeDocument/2006/customXml" ds:itemID="{F2D87007-C72F-42A4-8816-3DD49C1FB04C}">
  <ds:schemaRefs/>
</ds:datastoreItem>
</file>

<file path=customXml/itemProps18.xml><?xml version="1.0" encoding="utf-8"?>
<ds:datastoreItem xmlns:ds="http://schemas.openxmlformats.org/officeDocument/2006/customXml" ds:itemID="{B67B24F4-EB6F-4B99-AF79-C387418CE155}">
  <ds:schemaRefs/>
</ds:datastoreItem>
</file>

<file path=customXml/itemProps19.xml><?xml version="1.0" encoding="utf-8"?>
<ds:datastoreItem xmlns:ds="http://schemas.openxmlformats.org/officeDocument/2006/customXml" ds:itemID="{70A2D52A-0562-4138-AC41-684EABF37F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Production Dashboard</vt:lpstr>
      <vt:lpstr>Batch_Production</vt:lpstr>
      <vt:lpstr>Production_With_Site_Location</vt:lpstr>
      <vt:lpstr>Operator Dashboard</vt:lpstr>
      <vt:lpstr>QC_Instrument_Readings</vt:lpstr>
      <vt:lpstr>Anomaly_Incident_Log</vt:lpstr>
      <vt:lpstr>Raw_Material_Consumption</vt:lpstr>
      <vt:lpstr>Equipment_Maintenance</vt:lpstr>
      <vt:lpstr>Sites</vt:lpstr>
      <vt:lpstr>Operators</vt:lpstr>
      <vt:lpstr>Equipment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Tarun Dev Dinesh</cp:lastModifiedBy>
  <dcterms:created xsi:type="dcterms:W3CDTF">2026-03-18T00:07:50Z</dcterms:created>
  <dcterms:modified xsi:type="dcterms:W3CDTF">2026-04-06T04:04:47Z</dcterms:modified>
</cp:coreProperties>
</file>